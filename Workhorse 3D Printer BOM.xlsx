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horse 3D Printer" sheetId="1" r:id="rId4"/>
    <sheet state="visible" name="3D Distributed" sheetId="2" r:id="rId5"/>
    <sheet state="visible" name="Github" sheetId="3" r:id="rId6"/>
    <sheet state="visible" name="3D Models" sheetId="4" r:id="rId7"/>
    <sheet state="visible" name="Reddit" sheetId="5" r:id="rId8"/>
  </sheets>
  <definedNames/>
  <calcPr/>
  <extLst>
    <ext uri="GoogleSheetsCustomDataVersion1">
      <go:sheetsCustomData xmlns:go="http://customooxmlschemas.google.com/" r:id="rId9" roundtripDataSignature="AMtx7miSVzlOx4PbrBvIfseoFA/x4dgNqg=="/>
    </ext>
  </extLst>
</workbook>
</file>

<file path=xl/sharedStrings.xml><?xml version="1.0" encoding="utf-8"?>
<sst xmlns="http://schemas.openxmlformats.org/spreadsheetml/2006/main" count="246" uniqueCount="158">
  <si>
    <t>3D Distributed</t>
  </si>
  <si>
    <t>WorkHorse 3D Printer</t>
  </si>
  <si>
    <t>Read Me</t>
  </si>
  <si>
    <t>Electonics</t>
  </si>
  <si>
    <t>Price Each</t>
  </si>
  <si>
    <t>Part Number</t>
  </si>
  <si>
    <t>Pcs.</t>
  </si>
  <si>
    <t>Nema 17 Stepper Motor Z-Axis</t>
  </si>
  <si>
    <t>MO-N17-48-22B-3X</t>
  </si>
  <si>
    <t>2pcs</t>
  </si>
  <si>
    <t>NEMA 23 269 oz.in     X-Axis</t>
  </si>
  <si>
    <t>MO-N23-76-21B</t>
  </si>
  <si>
    <t>NEMA 23 184 oz.in       Y -Axis</t>
  </si>
  <si>
    <t>KL23H251-28-4A</t>
  </si>
  <si>
    <t>1pcs</t>
  </si>
  <si>
    <t>Duet 3 Mainboard 6HC</t>
  </si>
  <si>
    <t>Duet 3D</t>
  </si>
  <si>
    <t>Lead Screw</t>
  </si>
  <si>
    <t>Price $ Each</t>
  </si>
  <si>
    <t>Description</t>
  </si>
  <si>
    <t>Igus 761mm Long (X Axis)</t>
  </si>
  <si>
    <t>DST-LS-10x50-R </t>
  </si>
  <si>
    <t>DST-LS-10X50-R-ES</t>
  </si>
  <si>
    <t>Igus 485mm Long (Y Axis)</t>
  </si>
  <si>
    <t>Igus Lead Screw Nuts</t>
  </si>
  <si>
    <t>DST-JFRM-2525DS10X50</t>
  </si>
  <si>
    <t>Ds10x50</t>
  </si>
  <si>
    <r>
      <rPr>
        <rFont val="Calibri"/>
        <color rgb="FF1155CC"/>
        <sz val="11.0"/>
        <u/>
      </rPr>
      <t>12mm T12x2 Trapezoidal ACME Lead Screw w/ Brass Nut</t>
    </r>
    <r>
      <rPr>
        <rFont val="Calibri"/>
        <color rgb="FF000000"/>
        <sz val="11.0"/>
        <u/>
      </rPr>
      <t xml:space="preserve"> Z-Axis</t>
    </r>
  </si>
  <si>
    <t>Total</t>
  </si>
  <si>
    <t>Linear Rails</t>
  </si>
  <si>
    <t>Discription</t>
  </si>
  <si>
    <t>Source</t>
  </si>
  <si>
    <t xml:space="preserve">450mm or 400mm Long w Y axis (1pc) </t>
  </si>
  <si>
    <t>MGN12H 20mm x 20mm Hole Pattern</t>
  </si>
  <si>
    <t>ZYLtech</t>
  </si>
  <si>
    <t>700mm Long X Axis (2pc)</t>
  </si>
  <si>
    <t>500mm Long Z Axis (4pc)</t>
  </si>
  <si>
    <t>Total w/shipping + Tax</t>
  </si>
  <si>
    <t>Machined Hardware</t>
  </si>
  <si>
    <t>Price $</t>
  </si>
  <si>
    <t>Gantry Plates 2pcs w/bearings</t>
  </si>
  <si>
    <t>X- Axis Carriages 2pcs</t>
  </si>
  <si>
    <t>Y-Axis Carriage 1pc</t>
  </si>
  <si>
    <t>Y-Axis Motor Mount 1pc</t>
  </si>
  <si>
    <t>Y-Axis Idler Mount 1pc</t>
  </si>
  <si>
    <t>Hotend Mount</t>
  </si>
  <si>
    <t>Z-Axis Motor Mounts 2pcs</t>
  </si>
  <si>
    <t>Aluminum Bed 450mm x 700mm</t>
  </si>
  <si>
    <t>Z-Axis Lead Screw Nut Mount</t>
  </si>
  <si>
    <t xml:space="preserve"> Frame Extrusions</t>
  </si>
  <si>
    <t>Length</t>
  </si>
  <si>
    <t>Units</t>
  </si>
  <si>
    <t>Part #</t>
  </si>
  <si>
    <t>HFS5-2020</t>
  </si>
  <si>
    <t>930mm Long</t>
  </si>
  <si>
    <t>4pcs</t>
  </si>
  <si>
    <t>Horizontals</t>
  </si>
  <si>
    <t xml:space="preserve">HFS5-2020-930 </t>
  </si>
  <si>
    <t>510mm Long</t>
  </si>
  <si>
    <t>6pcs</t>
  </si>
  <si>
    <t>Verticals</t>
  </si>
  <si>
    <t>HFS5-2020-510</t>
  </si>
  <si>
    <t>570mm Long</t>
  </si>
  <si>
    <t>10pcs</t>
  </si>
  <si>
    <t>Widths</t>
  </si>
  <si>
    <t>HFS5-2020-570</t>
  </si>
  <si>
    <t>808mm Long</t>
  </si>
  <si>
    <t>3pcs</t>
  </si>
  <si>
    <t>Bed Support</t>
  </si>
  <si>
    <t>HFS5-2020-808</t>
  </si>
  <si>
    <t>Gantry Extrusions</t>
  </si>
  <si>
    <t>Part#</t>
  </si>
  <si>
    <t>HFS5-2040</t>
  </si>
  <si>
    <t>770.5 Long</t>
  </si>
  <si>
    <t>Gantry Horizontals</t>
  </si>
  <si>
    <t>HFS5-2040-770</t>
  </si>
  <si>
    <t>456Long</t>
  </si>
  <si>
    <t>510 Long</t>
  </si>
  <si>
    <t>4pcs.</t>
  </si>
  <si>
    <t>Z axis Linear Rail Verticals</t>
  </si>
  <si>
    <t>HFS5-2040-510</t>
  </si>
  <si>
    <t>Frame Components</t>
  </si>
  <si>
    <t>Type</t>
  </si>
  <si>
    <t>Frame Brackets</t>
  </si>
  <si>
    <t>20mm Wide</t>
  </si>
  <si>
    <t>90pcs</t>
  </si>
  <si>
    <t>Reversal Tabbed Brackets</t>
  </si>
  <si>
    <t>HBLFSNF5</t>
  </si>
  <si>
    <t>M4</t>
  </si>
  <si>
    <t>75pcs</t>
  </si>
  <si>
    <t xml:space="preserve">HNKK5-4 </t>
  </si>
  <si>
    <t>M5</t>
  </si>
  <si>
    <t>180pcs</t>
  </si>
  <si>
    <t>HNKK5-5</t>
  </si>
  <si>
    <t>M3</t>
  </si>
  <si>
    <t>HNKK5-3</t>
  </si>
  <si>
    <t>Frame Price</t>
  </si>
  <si>
    <t>Estemated Shipping</t>
  </si>
  <si>
    <t>Profile Extrusions</t>
  </si>
  <si>
    <t>extrusions and backets w tax and shipping</t>
  </si>
  <si>
    <t>M5 x 10 Cap Screws (200pcs)</t>
  </si>
  <si>
    <t>brackets</t>
  </si>
  <si>
    <t>T-nuts</t>
  </si>
  <si>
    <t>T-nuts M3 (100pcs linear rail mounting) HNKK5-3</t>
  </si>
  <si>
    <t>BOM</t>
  </si>
  <si>
    <t>Workhorse 3D Printer</t>
  </si>
  <si>
    <t>CAD Files</t>
  </si>
  <si>
    <t>Github</t>
  </si>
  <si>
    <t>DIY 3D Printers</t>
  </si>
  <si>
    <t>Nema Motor Mounts</t>
  </si>
  <si>
    <t>3D Printer Parts</t>
  </si>
  <si>
    <t>WorkHorse Printer</t>
  </si>
  <si>
    <t>3D Printer Kits</t>
  </si>
  <si>
    <t>SolidCore</t>
  </si>
  <si>
    <t>Large Scale 3D Printers</t>
  </si>
  <si>
    <t>Duet3D</t>
  </si>
  <si>
    <t>CoreXY</t>
  </si>
  <si>
    <t>Duet Wifi Setup</t>
  </si>
  <si>
    <t>Midwest RepRap Festival</t>
  </si>
  <si>
    <t>Media</t>
  </si>
  <si>
    <t>12601 Bowles Rd. Conroe, TX 77304</t>
  </si>
  <si>
    <t>Houston</t>
  </si>
  <si>
    <t>All Metal 3D Printer Parts</t>
  </si>
  <si>
    <t xml:space="preserve">3D Distributed Media </t>
  </si>
  <si>
    <t>https://github.com/ShaneHooper/WorkHorse3DPrinter</t>
  </si>
  <si>
    <t>Shane Hooper</t>
  </si>
  <si>
    <t>https://github.com/ShaneHooper</t>
  </si>
  <si>
    <t>Github Wiki</t>
  </si>
  <si>
    <t>https://github.com/ShaneHooper/WorkHorse3DPrinter/wiki</t>
  </si>
  <si>
    <t>Workhorse 3D Printer Wiki</t>
  </si>
  <si>
    <t>https://github.com/ShaneHooper/WorkHorse3DPrinter/wiki/Workhorse-3D-Printer</t>
  </si>
  <si>
    <t>Lead Screw Motion</t>
  </si>
  <si>
    <t>https://github.com/ShaneHooper/WorkHorse3DPrinter/wiki/Workhorse-3D-Printer#lead-screw-motion-system</t>
  </si>
  <si>
    <t>Download Workhorse 3D Printer Files</t>
  </si>
  <si>
    <t>Hackster.io</t>
  </si>
  <si>
    <t>https://www.hackster.io/ShaneHooper/large-diy-3d-printer-with-all-lead-screw-0add9b</t>
  </si>
  <si>
    <t>Hackaday</t>
  </si>
  <si>
    <t>https://hackaday.io/project/177793-large-diy-3d-printer-with-all-lead-screw</t>
  </si>
  <si>
    <t>Thingiverse</t>
  </si>
  <si>
    <t>https://www.thingiverse.com/thing:2764064</t>
  </si>
  <si>
    <t>OpenBuilds</t>
  </si>
  <si>
    <t>https://openbuilds.com/builds/workhorse-3d-printer.8576/</t>
  </si>
  <si>
    <t>Autodesk</t>
  </si>
  <si>
    <t>https://gallery.autodesk.com/projects/159034/workhorse-3d-printer---large-format-diy-3d-printer-with-all-lead-screw---fixed-bed---moving-gantry</t>
  </si>
  <si>
    <t>MyMiniFactory</t>
  </si>
  <si>
    <t>https://www.myminifactory.com/object/3d-print-workhorse-3d-printer-large-scale-xyz-lead-screw-moving-gantry-fixed-bed-160639</t>
  </si>
  <si>
    <t>GrabCad</t>
  </si>
  <si>
    <t>https://grabcad.com/library/workhorse-3d-printer-large-diy-3d-printer-with-xyz-axis-lead-screw-fixed-bed-moving-gantry-1</t>
  </si>
  <si>
    <t>WikiFactory</t>
  </si>
  <si>
    <t>https://wikifactory.com/@shanehooper/workhorse-3d-printer</t>
  </si>
  <si>
    <t>Thangs</t>
  </si>
  <si>
    <t>https://thangs.com/3ddistributed/Workhorse-3D-Printer-12565</t>
  </si>
  <si>
    <r>
      <rPr>
        <b/>
        <color rgb="FF1155CC"/>
        <u/>
      </rPr>
      <t>BOM</t>
    </r>
    <r>
      <rPr>
        <b/>
        <color rgb="FF000000"/>
        <u/>
      </rPr>
      <t xml:space="preserve"> -2</t>
    </r>
  </si>
  <si>
    <t>Workhorse Printer Reddit Page</t>
  </si>
  <si>
    <t>https://www.reddit.com/r/WorkHorse3DPrinter/</t>
  </si>
  <si>
    <t>Wiring up the Duet 3 Mainboard Post</t>
  </si>
  <si>
    <t>Workhorse Printer Updates</t>
  </si>
  <si>
    <t>3030 Frame Post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</si>
</sst>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$&quot;* #,##0.00_);_(&quot;$&quot;* \(#,##0.00\);_(&quot;$&quot;* &quot;-&quot;??_);_(@_)"/>
    <numFmt numFmtId="165" formatCode="&quot;$&quot;#,##0.00"/>
    <numFmt numFmtId="166" formatCode="#,##0&quot;$&quot;"/>
  </numFmts>
  <fonts count="41">
    <font>
      <sz val="11.0"/>
      <color rgb="FF000000"/>
      <name val="Calibri"/>
      <scheme val="minor"/>
    </font>
    <font>
      <u/>
      <sz val="24.0"/>
      <color rgb="FF1155CC"/>
      <name val="Impact"/>
    </font>
    <font>
      <u/>
      <color rgb="FF000000"/>
      <name val="Impact"/>
    </font>
    <font>
      <u/>
      <color rgb="FF1155CC"/>
    </font>
    <font>
      <b/>
      <u/>
      <sz val="14.0"/>
      <color rgb="FF1155CC"/>
      <name val="Calibri"/>
    </font>
    <font>
      <b/>
      <sz val="11.0"/>
      <color rgb="FF000000"/>
      <name val="Calibri"/>
    </font>
    <font>
      <b/>
      <u/>
      <sz val="11.0"/>
      <color rgb="FF1155CC"/>
      <name val="Calibri"/>
    </font>
    <font>
      <u/>
      <sz val="11.0"/>
      <color rgb="FF1155CC"/>
      <name val="Calibri"/>
    </font>
    <font>
      <sz val="11.0"/>
      <color rgb="FF000000"/>
      <name val="Calibri"/>
    </font>
    <font>
      <u/>
      <sz val="11.0"/>
      <color rgb="FF1155CC"/>
      <name val="Arial"/>
    </font>
    <font>
      <sz val="11.0"/>
      <color theme="1"/>
      <name val="Calibri"/>
    </font>
    <font>
      <color theme="1"/>
      <name val="Calibri"/>
      <scheme val="minor"/>
    </font>
    <font>
      <color theme="1"/>
      <name val="Calibri"/>
    </font>
    <font>
      <u/>
      <color rgb="FF1155CC"/>
    </font>
    <font>
      <color rgb="FF000000"/>
      <name val="Calibri"/>
    </font>
    <font>
      <u/>
      <sz val="11.0"/>
      <color rgb="FF000000"/>
      <name val="Calibri"/>
    </font>
    <font>
      <sz val="9.0"/>
      <color rgb="FF222222"/>
      <name val="Arial"/>
    </font>
    <font>
      <u/>
      <sz val="11.0"/>
      <color rgb="FF1155CC"/>
      <name val="Calibri"/>
    </font>
    <font>
      <sz val="11.0"/>
      <color rgb="FF000000"/>
      <name val="Arial"/>
    </font>
    <font>
      <b/>
      <u/>
      <sz val="11.0"/>
      <color rgb="FF1155CC"/>
      <name val="Arial"/>
    </font>
    <font>
      <u/>
      <color rgb="FF0000FF"/>
    </font>
    <font>
      <b/>
      <u/>
      <sz val="11.0"/>
      <color rgb="FF1155CC"/>
      <name val="Arial"/>
    </font>
    <font>
      <b/>
      <color theme="1"/>
      <name val="Calibri"/>
    </font>
    <font>
      <b/>
      <u/>
      <color rgb="FF1155CC"/>
    </font>
    <font>
      <u/>
      <color rgb="FF1155CC"/>
      <name val="Calibri"/>
      <scheme val="minor"/>
    </font>
    <font>
      <u/>
      <sz val="28.0"/>
      <color rgb="FF1155CC"/>
      <name val="Impact"/>
    </font>
    <font>
      <color theme="1"/>
      <name val="Arial"/>
    </font>
    <font>
      <b/>
      <u/>
      <sz val="14.0"/>
      <color rgb="FF1155CC"/>
      <name val="Arial"/>
    </font>
    <font>
      <u/>
      <color rgb="FF1155CC"/>
      <name val="Arial"/>
    </font>
    <font>
      <u/>
      <sz val="24.0"/>
      <color rgb="FF1155CC"/>
      <name val="Impact"/>
    </font>
    <font>
      <u/>
      <sz val="24.0"/>
      <color rgb="FF1155CC"/>
      <name val="Impact"/>
    </font>
    <font>
      <u/>
      <color rgb="FF1155CC"/>
      <name val="Arial"/>
    </font>
    <font>
      <sz val="36.0"/>
      <color theme="1"/>
      <name val="Impact"/>
    </font>
    <font>
      <u/>
      <color rgb="FF1155CC"/>
    </font>
    <font>
      <u/>
      <color rgb="FF0000FF"/>
    </font>
    <font>
      <b/>
      <sz val="18.0"/>
      <color theme="1"/>
      <name val="Impact"/>
    </font>
    <font>
      <b/>
      <u/>
      <color rgb="FF1155CC"/>
    </font>
    <font>
      <u/>
      <color rgb="FF1155CC"/>
    </font>
    <font>
      <u/>
      <sz val="12.0"/>
      <color rgb="FF1155CC"/>
      <name val="&quot;Times New Roman&quot;"/>
    </font>
    <font>
      <color rgb="FF000000"/>
      <name val="Calibri"/>
      <scheme val="minor"/>
    </font>
    <font>
      <sz val="18.0"/>
      <color theme="1"/>
      <name val="Impact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6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Alignment="1" applyBorder="1" applyFont="1">
      <alignment horizontal="center"/>
    </xf>
    <xf borderId="0" fillId="0" fontId="3" numFmtId="0" xfId="0" applyAlignment="1" applyFont="1">
      <alignment horizontal="center" readingOrder="0"/>
    </xf>
    <xf borderId="2" fillId="2" fontId="4" numFmtId="0" xfId="0" applyAlignment="1" applyBorder="1" applyFont="1">
      <alignment horizontal="center"/>
    </xf>
    <xf borderId="2" fillId="2" fontId="5" numFmtId="0" xfId="0" applyAlignment="1" applyBorder="1" applyFont="1">
      <alignment horizontal="center"/>
    </xf>
    <xf borderId="2" fillId="2" fontId="6" numFmtId="0" xfId="0" applyAlignment="1" applyBorder="1" applyFont="1">
      <alignment horizontal="center"/>
    </xf>
    <xf borderId="0" fillId="3" fontId="5" numFmtId="0" xfId="0" applyAlignment="1" applyFill="1" applyFont="1">
      <alignment horizontal="center"/>
    </xf>
    <xf borderId="2" fillId="0" fontId="7" numFmtId="0" xfId="0" applyAlignment="1" applyBorder="1" applyFont="1">
      <alignment horizontal="center"/>
    </xf>
    <xf borderId="2" fillId="0" fontId="8" numFmtId="0" xfId="0" applyAlignment="1" applyBorder="1" applyFont="1">
      <alignment horizontal="center" readingOrder="0"/>
    </xf>
    <xf borderId="2" fillId="3" fontId="9" numFmtId="0" xfId="0" applyAlignment="1" applyBorder="1" applyFont="1">
      <alignment horizontal="center"/>
    </xf>
    <xf borderId="2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2" fillId="0" fontId="10" numFmtId="0" xfId="0" applyAlignment="1" applyBorder="1" applyFont="1">
      <alignment horizontal="center"/>
    </xf>
    <xf borderId="0" fillId="0" fontId="8" numFmtId="0" xfId="0" applyFont="1"/>
    <xf borderId="2" fillId="0" fontId="11" numFmtId="0" xfId="0" applyAlignment="1" applyBorder="1" applyFont="1">
      <alignment horizontal="center"/>
    </xf>
    <xf borderId="2" fillId="0" fontId="12" numFmtId="0" xfId="0" applyBorder="1" applyFont="1"/>
    <xf borderId="2" fillId="0" fontId="12" numFmtId="0" xfId="0" applyAlignment="1" applyBorder="1" applyFont="1">
      <alignment horizontal="center"/>
    </xf>
    <xf borderId="2" fillId="0" fontId="11" numFmtId="0" xfId="0" applyBorder="1" applyFont="1"/>
    <xf borderId="2" fillId="0" fontId="8" numFmtId="164" xfId="0" applyAlignment="1" applyBorder="1" applyFont="1" applyNumberFormat="1">
      <alignment horizontal="center"/>
    </xf>
    <xf borderId="2" fillId="0" fontId="13" numFmtId="0" xfId="0" applyAlignment="1" applyBorder="1" applyFont="1">
      <alignment horizontal="center"/>
    </xf>
    <xf borderId="2" fillId="0" fontId="14" numFmtId="0" xfId="0" applyAlignment="1" applyBorder="1" applyFont="1">
      <alignment horizontal="center"/>
    </xf>
    <xf borderId="0" fillId="0" fontId="15" numFmtId="0" xfId="0" applyAlignment="1" applyFont="1">
      <alignment horizontal="center"/>
    </xf>
    <xf borderId="2" fillId="0" fontId="8" numFmtId="164" xfId="0" applyAlignment="1" applyBorder="1" applyFont="1" applyNumberFormat="1">
      <alignment horizontal="center" readingOrder="0"/>
    </xf>
    <xf borderId="2" fillId="3" fontId="10" numFmtId="0" xfId="0" applyAlignment="1" applyBorder="1" applyFont="1">
      <alignment horizontal="center" shrinkToFit="0" vertical="top" wrapText="1"/>
    </xf>
    <xf borderId="2" fillId="0" fontId="16" numFmtId="0" xfId="0" applyAlignment="1" applyBorder="1" applyFont="1">
      <alignment horizontal="center"/>
    </xf>
    <xf borderId="3" fillId="0" fontId="12" numFmtId="0" xfId="0" applyBorder="1" applyFont="1"/>
    <xf borderId="0" fillId="0" fontId="12" numFmtId="0" xfId="0" applyFont="1"/>
    <xf borderId="2" fillId="0" fontId="8" numFmtId="165" xfId="0" applyAlignment="1" applyBorder="1" applyFont="1" applyNumberFormat="1">
      <alignment horizontal="right"/>
    </xf>
    <xf borderId="3" fillId="0" fontId="8" numFmtId="0" xfId="0" applyAlignment="1" applyBorder="1" applyFont="1">
      <alignment horizontal="center"/>
    </xf>
    <xf borderId="4" fillId="0" fontId="12" numFmtId="0" xfId="0" applyBorder="1" applyFont="1"/>
    <xf borderId="0" fillId="0" fontId="8" numFmtId="164" xfId="0" applyAlignment="1" applyFont="1" applyNumberFormat="1">
      <alignment horizontal="center"/>
    </xf>
    <xf borderId="2" fillId="0" fontId="17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 shrinkToFit="0" wrapText="1"/>
    </xf>
    <xf borderId="2" fillId="0" fontId="18" numFmtId="0" xfId="0" applyAlignment="1" applyBorder="1" applyFont="1">
      <alignment horizontal="center"/>
    </xf>
    <xf borderId="2" fillId="2" fontId="19" numFmtId="0" xfId="0" applyAlignment="1" applyBorder="1" applyFont="1">
      <alignment horizontal="center"/>
    </xf>
    <xf borderId="2" fillId="0" fontId="20" numFmtId="0" xfId="0" applyAlignment="1" applyBorder="1" applyFont="1">
      <alignment horizontal="center"/>
    </xf>
    <xf borderId="2" fillId="0" fontId="21" numFmtId="0" xfId="0" applyAlignment="1" applyBorder="1" applyFont="1">
      <alignment horizontal="center"/>
    </xf>
    <xf borderId="2" fillId="2" fontId="22" numFmtId="0" xfId="0" applyAlignment="1" applyBorder="1" applyFont="1">
      <alignment horizontal="center"/>
    </xf>
    <xf borderId="2" fillId="2" fontId="12" numFmtId="0" xfId="0" applyBorder="1" applyFont="1"/>
    <xf borderId="2" fillId="0" fontId="12" numFmtId="166" xfId="0" applyBorder="1" applyFont="1" applyNumberForma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11" numFmtId="0" xfId="0" applyAlignment="1" applyFont="1">
      <alignment readingOrder="0"/>
    </xf>
    <xf borderId="5" fillId="4" fontId="25" numFmtId="0" xfId="0" applyAlignment="1" applyBorder="1" applyFill="1" applyFont="1">
      <alignment vertical="bottom"/>
    </xf>
    <xf borderId="5" fillId="4" fontId="26" numFmtId="0" xfId="0" applyAlignment="1" applyBorder="1" applyFont="1">
      <alignment vertical="bottom"/>
    </xf>
    <xf borderId="5" fillId="4" fontId="27" numFmtId="0" xfId="0" applyAlignment="1" applyBorder="1" applyFont="1">
      <alignment vertical="bottom"/>
    </xf>
    <xf borderId="5" fillId="0" fontId="28" numFmtId="0" xfId="0" applyAlignment="1" applyBorder="1" applyFont="1">
      <alignment vertical="bottom"/>
    </xf>
    <xf borderId="5" fillId="0" fontId="26" numFmtId="0" xfId="0" applyAlignment="1" applyBorder="1" applyFont="1">
      <alignment vertical="bottom"/>
    </xf>
    <xf borderId="0" fillId="0" fontId="26" numFmtId="0" xfId="0" applyAlignment="1" applyFont="1">
      <alignment vertical="bottom"/>
    </xf>
    <xf borderId="5" fillId="4" fontId="29" numFmtId="0" xfId="0" applyAlignment="1" applyBorder="1" applyFont="1">
      <alignment vertical="bottom"/>
    </xf>
    <xf borderId="0" fillId="0" fontId="30" numFmtId="0" xfId="0" applyAlignment="1" applyFont="1">
      <alignment vertical="bottom"/>
    </xf>
    <xf borderId="0" fillId="0" fontId="31" numFmtId="0" xfId="0" applyAlignment="1" applyFont="1">
      <alignment vertical="bottom"/>
    </xf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5" fillId="0" fontId="35" numFmtId="0" xfId="0" applyAlignment="1" applyBorder="1" applyFont="1">
      <alignment readingOrder="0"/>
    </xf>
    <xf borderId="5" fillId="0" fontId="36" numFmtId="0" xfId="0" applyAlignment="1" applyBorder="1" applyFont="1">
      <alignment readingOrder="0"/>
    </xf>
    <xf borderId="5" fillId="0" fontId="37" numFmtId="0" xfId="0" applyAlignment="1" applyBorder="1" applyFont="1">
      <alignment readingOrder="0"/>
    </xf>
    <xf borderId="5" fillId="0" fontId="38" numFmtId="0" xfId="0" applyAlignment="1" applyBorder="1" applyFont="1">
      <alignment readingOrder="0"/>
    </xf>
    <xf borderId="5" fillId="0" fontId="5" numFmtId="0" xfId="0" applyAlignment="1" applyBorder="1" applyFont="1">
      <alignment horizontal="left" readingOrder="0"/>
    </xf>
    <xf borderId="5" fillId="0" fontId="39" numFmtId="0" xfId="0" applyAlignment="1" applyBorder="1" applyFont="1">
      <alignment readingOrder="0"/>
    </xf>
    <xf borderId="0" fillId="0" fontId="40" numFmtId="0" xfId="0" applyAlignment="1" applyFont="1">
      <alignment readingOrder="0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0" cy="16573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1l-3uNonx_ORs6nRXxofR3ey-8DSHwf5zI4f2QxJN4M/edit?usp=sharing" TargetMode="External"/><Relationship Id="rId42" Type="http://schemas.openxmlformats.org/officeDocument/2006/relationships/hyperlink" Target="https://docs.google.com/document/d/11l-3uNonx_ORs6nRXxofR3ey-8DSHwf5zI4f2QxJN4M/edit?usp=sharing" TargetMode="External"/><Relationship Id="rId41" Type="http://schemas.openxmlformats.org/officeDocument/2006/relationships/hyperlink" Target="https://docs.google.com/document/d/11l-3uNonx_ORs6nRXxofR3ey-8DSHwf5zI4f2QxJN4M/edit?usp=sharing" TargetMode="External"/><Relationship Id="rId44" Type="http://schemas.openxmlformats.org/officeDocument/2006/relationships/hyperlink" Target="https://docs.google.com/document/d/11l-3uNonx_ORs6nRXxofR3ey-8DSHwf5zI4f2QxJN4M/edit?usp=sharing" TargetMode="External"/><Relationship Id="rId43" Type="http://schemas.openxmlformats.org/officeDocument/2006/relationships/hyperlink" Target="https://docs.google.com/document/d/11l-3uNonx_ORs6nRXxofR3ey-8DSHwf5zI4f2QxJN4M/edit?usp=sharing" TargetMode="External"/><Relationship Id="rId46" Type="http://schemas.openxmlformats.org/officeDocument/2006/relationships/hyperlink" Target="https://docs.google.com/document/d/11l-3uNonx_ORs6nRXxofR3ey-8DSHwf5zI4f2QxJN4M/edit?usp=sharing" TargetMode="External"/><Relationship Id="rId45" Type="http://schemas.openxmlformats.org/officeDocument/2006/relationships/hyperlink" Target="https://docs.google.com/document/d/11l-3uNonx_ORs6nRXxofR3ey-8DSHwf5zI4f2QxJN4M/edit?usp=sharing" TargetMode="External"/><Relationship Id="rId1" Type="http://schemas.openxmlformats.org/officeDocument/2006/relationships/hyperlink" Target="https://sites.google.com/view/3d-distributed/" TargetMode="External"/><Relationship Id="rId2" Type="http://schemas.openxmlformats.org/officeDocument/2006/relationships/hyperlink" Target="https://sites.google.com/view/workhorse3dprinter/home" TargetMode="External"/><Relationship Id="rId3" Type="http://schemas.openxmlformats.org/officeDocument/2006/relationships/hyperlink" Target="https://docs.google.com/document/d/13nNPpa2BOsipP57hsbSLGV2rvoUegDueHLu7w5KgbOE/edit?usp=sharing" TargetMode="External"/><Relationship Id="rId4" Type="http://schemas.openxmlformats.org/officeDocument/2006/relationships/hyperlink" Target="https://docs.google.com/document/d/1NkMvuQxaNUFZQew2Gc1-TtsQKOyFOVbQ3Jt-M6NneDo/edit?usp=sharing" TargetMode="External"/><Relationship Id="rId9" Type="http://schemas.openxmlformats.org/officeDocument/2006/relationships/hyperlink" Target="https://www.zyltech.com/nema-23-stepper-motor-3-0-a-1-9-n-m-269-oz-in/" TargetMode="External"/><Relationship Id="rId48" Type="http://schemas.openxmlformats.org/officeDocument/2006/relationships/hyperlink" Target="https://us.misumi-ec.com/vona2/detail/110302246940/?HissuCode=HNKK5-3&amp;PNSearch=HNKK5-3&amp;searchFlow=results2type&amp;KWSearch=HNKK5-3" TargetMode="External"/><Relationship Id="rId47" Type="http://schemas.openxmlformats.org/officeDocument/2006/relationships/hyperlink" Target="http://boltdepot.com/" TargetMode="External"/><Relationship Id="rId49" Type="http://schemas.openxmlformats.org/officeDocument/2006/relationships/hyperlink" Target="https://docs.google.com/spreadsheets/d/1gP2sXpk0kmG8WtHmKsT5NyTBm8-RnpTb/edit?usp=sharing&amp;ouid=105073050094289542352&amp;rtpof=true&amp;sd=true" TargetMode="External"/><Relationship Id="rId5" Type="http://schemas.openxmlformats.org/officeDocument/2006/relationships/hyperlink" Target="https://docs.google.com/document/d/1NkMvuQxaNUFZQew2Gc1-TtsQKOyFOVbQ3Jt-M6NneDo/edit?usp=sharing" TargetMode="External"/><Relationship Id="rId6" Type="http://schemas.openxmlformats.org/officeDocument/2006/relationships/hyperlink" Target="https://docs.google.com/document/d/1NkMvuQxaNUFZQew2Gc1-TtsQKOyFOVbQ3Jt-M6NneDo/edit?usp=sharing" TargetMode="External"/><Relationship Id="rId7" Type="http://schemas.openxmlformats.org/officeDocument/2006/relationships/hyperlink" Target="https://www.zyltech.com/nema-17-stepper-motor-1-7-a-0-59-nm-84-ozin-1-3-or-5-pack/" TargetMode="External"/><Relationship Id="rId8" Type="http://schemas.openxmlformats.org/officeDocument/2006/relationships/hyperlink" Target="https://docs.google.com/document/d/1NkMvuQxaNUFZQew2Gc1-TtsQKOyFOVbQ3Jt-M6NneDo/edit?usp=sharing" TargetMode="External"/><Relationship Id="rId31" Type="http://schemas.openxmlformats.org/officeDocument/2006/relationships/hyperlink" Target="https://docs.google.com/document/d/18iWQnmnnwbwvjfEpxYluDliOH2lVm7Hz7J19r7-Kw80/edit?usp=sharing" TargetMode="External"/><Relationship Id="rId30" Type="http://schemas.openxmlformats.org/officeDocument/2006/relationships/hyperlink" Target="https://sites.google.com/view/3d-distributed/" TargetMode="External"/><Relationship Id="rId33" Type="http://schemas.openxmlformats.org/officeDocument/2006/relationships/hyperlink" Target="https://sites.google.com/view/3d-distributed/" TargetMode="External"/><Relationship Id="rId32" Type="http://schemas.openxmlformats.org/officeDocument/2006/relationships/hyperlink" Target="https://sites.google.com/view/3d-distributed/" TargetMode="External"/><Relationship Id="rId35" Type="http://schemas.openxmlformats.org/officeDocument/2006/relationships/hyperlink" Target="https://sites.google.com/view/3d-distributed/" TargetMode="External"/><Relationship Id="rId34" Type="http://schemas.openxmlformats.org/officeDocument/2006/relationships/hyperlink" Target="https://docs.google.com/document/d/1yIMmg32q6zE-uIZZYIIpU0rAP7OJqYcpVXr6UWl7Rew/edit?usp=sharing" TargetMode="External"/><Relationship Id="rId37" Type="http://schemas.openxmlformats.org/officeDocument/2006/relationships/hyperlink" Target="https://sites.google.com/view/3d-distributed/workhorse-3d-printer/build-plate" TargetMode="External"/><Relationship Id="rId36" Type="http://schemas.openxmlformats.org/officeDocument/2006/relationships/hyperlink" Target="https://sites.google.com/view/3d-distributed/" TargetMode="External"/><Relationship Id="rId39" Type="http://schemas.openxmlformats.org/officeDocument/2006/relationships/hyperlink" Target="https://docs.google.com/document/d/1zqdBGbfD-G0SdHWVyoa-c_edwiuQKhr9mOvX8s3dUnM/edit?usp=sharing" TargetMode="External"/><Relationship Id="rId38" Type="http://schemas.openxmlformats.org/officeDocument/2006/relationships/hyperlink" Target="https://sites.google.com/view/3d-distributed/" TargetMode="External"/><Relationship Id="rId20" Type="http://schemas.openxmlformats.org/officeDocument/2006/relationships/hyperlink" Target="https://www.zyltech.com/12mm-t12x8-trapezoidal-acme-lead-screw-w-brass-nut-pre-cut-lengths-300mm-2000mm/" TargetMode="External"/><Relationship Id="rId22" Type="http://schemas.openxmlformats.org/officeDocument/2006/relationships/hyperlink" Target="https://www.zyltech.com/search.php?search_query=workhorse+3d+printer" TargetMode="External"/><Relationship Id="rId21" Type="http://schemas.openxmlformats.org/officeDocument/2006/relationships/hyperlink" Target="https://docs.google.com/document/d/1zGdifNBKjFR1vIV_wQlnzeo_nN2lgHoS-yEsJkQ0uXg/edit?usp=sharing" TargetMode="External"/><Relationship Id="rId24" Type="http://schemas.openxmlformats.org/officeDocument/2006/relationships/hyperlink" Target="https://www.zyltech.com/search.php?search_query=workhorse+3d+printer" TargetMode="External"/><Relationship Id="rId23" Type="http://schemas.openxmlformats.org/officeDocument/2006/relationships/hyperlink" Target="https://www.zyltech.com/search.php?search_query=workhorse+3d+printer" TargetMode="External"/><Relationship Id="rId26" Type="http://schemas.openxmlformats.org/officeDocument/2006/relationships/hyperlink" Target="https://sites.google.com/view/3d-distributed/" TargetMode="External"/><Relationship Id="rId25" Type="http://schemas.openxmlformats.org/officeDocument/2006/relationships/hyperlink" Target="https://sites.google.com/view/3d-distributed/" TargetMode="External"/><Relationship Id="rId28" Type="http://schemas.openxmlformats.org/officeDocument/2006/relationships/hyperlink" Target="https://sites.google.com/view/3d-distributed/" TargetMode="External"/><Relationship Id="rId27" Type="http://schemas.openxmlformats.org/officeDocument/2006/relationships/hyperlink" Target="https://docs.google.com/document/d/1Vd2PdB_hXaFKPNdGxLS4YVAtObagg9VC6V_vWCoOSSA/edit?usp=sharing" TargetMode="External"/><Relationship Id="rId29" Type="http://schemas.openxmlformats.org/officeDocument/2006/relationships/hyperlink" Target="https://docs.google.com/document/d/1gNmFLYyJBsnfMEPnmF7bYRvxwQ0ndSOHjGc4H5dq03E/edit?usp=sharing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s://docs.google.com/spreadsheets/d/e/2PACX-1vTxn7htvFtjnHy3c-aE7AWD3RwSHZLMR93Sfj00Tsdaffhh9jzKmrSqpU3crwOTXw/pubhtml" TargetMode="External"/><Relationship Id="rId11" Type="http://schemas.openxmlformats.org/officeDocument/2006/relationships/hyperlink" Target="https://www.zyltech.com/nema-23-stepper-motor-2-5-a-1-3-n-m-184-oz-in-1-3-or-5-pack/" TargetMode="External"/><Relationship Id="rId10" Type="http://schemas.openxmlformats.org/officeDocument/2006/relationships/hyperlink" Target="https://docs.google.com/document/d/1NkMvuQxaNUFZQew2Gc1-TtsQKOyFOVbQ3Jt-M6NneDo/edit?usp=sharing" TargetMode="External"/><Relationship Id="rId13" Type="http://schemas.openxmlformats.org/officeDocument/2006/relationships/hyperlink" Target="https://docs.google.com/document/d/1KlfmatUR9xLh5apDLJgf9mmEjynAkl-YotgW3cAVlcE/edit?usp=sharing" TargetMode="External"/><Relationship Id="rId12" Type="http://schemas.openxmlformats.org/officeDocument/2006/relationships/hyperlink" Target="https://www.duet3d.com/Duet3Mainboard6HC" TargetMode="External"/><Relationship Id="rId15" Type="http://schemas.openxmlformats.org/officeDocument/2006/relationships/hyperlink" Target="https://www.igus.com/product/?artnr=DST-LS-10X50-R-ES" TargetMode="External"/><Relationship Id="rId14" Type="http://schemas.openxmlformats.org/officeDocument/2006/relationships/hyperlink" Target="https://docs.google.com/document/d/1KlfmatUR9xLh5apDLJgf9mmEjynAkl-YotgW3cAVlcE/edit?usp=sharing" TargetMode="External"/><Relationship Id="rId17" Type="http://schemas.openxmlformats.org/officeDocument/2006/relationships/hyperlink" Target="https://www.igus.com/product/?artnr=DST-LS-10X50-R-ES" TargetMode="External"/><Relationship Id="rId16" Type="http://schemas.openxmlformats.org/officeDocument/2006/relationships/hyperlink" Target="https://docs.google.com/document/d/1KlfmatUR9xLh5apDLJgf9mmEjynAkl-YotgW3cAVlcE/edit?usp=sharing" TargetMode="External"/><Relationship Id="rId19" Type="http://schemas.openxmlformats.org/officeDocument/2006/relationships/hyperlink" Target="https://www.igus.com/product/796" TargetMode="External"/><Relationship Id="rId18" Type="http://schemas.openxmlformats.org/officeDocument/2006/relationships/hyperlink" Target="https://docs.google.com/document/d/1KlfmatUR9xLh5apDLJgf9mmEjynAkl-YotgW3cAVlcE/edit?usp=sharing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e/2PACX-1vTxn7htvFtjnHy3c-aE7AWD3RwSHZLMR93Sfj00Tsdaffhh9jzKmrSqpU3crwOTXw/pubhtml" TargetMode="External"/><Relationship Id="rId41" Type="http://schemas.openxmlformats.org/officeDocument/2006/relationships/drawing" Target="../drawings/drawing2.xml"/><Relationship Id="rId1" Type="http://schemas.openxmlformats.org/officeDocument/2006/relationships/hyperlink" Target="https://www.google.com/maps/d/edit?mid=10jLLy1vUyCoargxkagHS2LOEHkeZ2o0Y&amp;usp=sharing" TargetMode="External"/><Relationship Id="rId2" Type="http://schemas.openxmlformats.org/officeDocument/2006/relationships/hyperlink" Target="https://sites.google.com/view/3d-distributed/" TargetMode="External"/><Relationship Id="rId3" Type="http://schemas.openxmlformats.org/officeDocument/2006/relationships/hyperlink" Target="https://sites.google.com/view/3d-distributed/" TargetMode="External"/><Relationship Id="rId4" Type="http://schemas.openxmlformats.org/officeDocument/2006/relationships/hyperlink" Target="https://drive.google.com/drive/folders/1Z_93K5Q_JtBvKC2-QC_a9ZEusXI1YnX6?usp=sharing" TargetMode="External"/><Relationship Id="rId9" Type="http://schemas.openxmlformats.org/officeDocument/2006/relationships/hyperlink" Target="https://sites.google.com/view/3d-distributed/solidcore-corexy" TargetMode="External"/><Relationship Id="rId5" Type="http://schemas.openxmlformats.org/officeDocument/2006/relationships/hyperlink" Target="https://sites.google.com/view/3d-distributed/nema-motor-mounts" TargetMode="External"/><Relationship Id="rId6" Type="http://schemas.openxmlformats.org/officeDocument/2006/relationships/hyperlink" Target="https://drive.google.com/drive/folders/1Z_93K5Q_JtBvKC2-QC_a9ZEusXI1YnX6?usp=sharing" TargetMode="External"/><Relationship Id="rId7" Type="http://schemas.openxmlformats.org/officeDocument/2006/relationships/hyperlink" Target="https://sites.google.com/view/3d-distributed/workhorse-3d-printer" TargetMode="External"/><Relationship Id="rId8" Type="http://schemas.openxmlformats.org/officeDocument/2006/relationships/hyperlink" Target="https://drive.google.com/drive/folders/1Z_93K5Q_JtBvKC2-QC_a9ZEusXI1YnX6?usp=sharing" TargetMode="External"/><Relationship Id="rId31" Type="http://schemas.openxmlformats.org/officeDocument/2006/relationships/hyperlink" Target="https://drive.google.com/drive/folders/1Z_93K5Q_JtBvKC2-QC_a9ZEusXI1YnX6?usp=sharing" TargetMode="External"/><Relationship Id="rId30" Type="http://schemas.openxmlformats.org/officeDocument/2006/relationships/hyperlink" Target="https://drive.google.com/drive/folders/1Z_93K5Q_JtBvKC2-QC_a9ZEusXI1YnX6?usp=sharing" TargetMode="External"/><Relationship Id="rId33" Type="http://schemas.openxmlformats.org/officeDocument/2006/relationships/hyperlink" Target="https://drive.google.com/drive/folders/1Z_93K5Q_JtBvKC2-QC_a9ZEusXI1YnX6?usp=sharing" TargetMode="External"/><Relationship Id="rId32" Type="http://schemas.openxmlformats.org/officeDocument/2006/relationships/hyperlink" Target="https://drive.google.com/drive/folders/1Z_93K5Q_JtBvKC2-QC_a9ZEusXI1YnX6?usp=sharing" TargetMode="External"/><Relationship Id="rId35" Type="http://schemas.openxmlformats.org/officeDocument/2006/relationships/hyperlink" Target="https://drive.google.com/drive/folders/1Z_93K5Q_JtBvKC2-QC_a9ZEusXI1YnX6?usp=sharing" TargetMode="External"/><Relationship Id="rId34" Type="http://schemas.openxmlformats.org/officeDocument/2006/relationships/hyperlink" Target="https://drive.google.com/drive/folders/1Z_93K5Q_JtBvKC2-QC_a9ZEusXI1YnX6?usp=sharing" TargetMode="External"/><Relationship Id="rId37" Type="http://schemas.openxmlformats.org/officeDocument/2006/relationships/hyperlink" Target="https://www.google.com/maps/d/edit?mid=10jLLy1vUyCoargxkagHS2LOEHkeZ2o0Y&amp;usp=sharing" TargetMode="External"/><Relationship Id="rId36" Type="http://schemas.openxmlformats.org/officeDocument/2006/relationships/hyperlink" Target="https://photos.app.goo.gl/FbSahjyj7VHVuVKp9" TargetMode="External"/><Relationship Id="rId39" Type="http://schemas.openxmlformats.org/officeDocument/2006/relationships/hyperlink" Target="https://docs.google.com/spreadsheets/d/1gP2sXpk0kmG8WtHmKsT5NyTBm8-RnpTb/edit?usp=sharing&amp;ouid=105073050094289542352&amp;rtpof=true&amp;sd=true" TargetMode="External"/><Relationship Id="rId38" Type="http://schemas.openxmlformats.org/officeDocument/2006/relationships/hyperlink" Target="https://docs.google.com/document/d/e/2PACX-1vRr8-XIHLVWC0t9ju5kdc52usx1GHYedtL-5gpre3rWuJaAkOL-v-FAsFiWSz7FxR9xokrBJQR43Wme/pub" TargetMode="External"/><Relationship Id="rId20" Type="http://schemas.openxmlformats.org/officeDocument/2006/relationships/hyperlink" Target="https://drive.google.com/drive/folders/1Z_93K5Q_JtBvKC2-QC_a9ZEusXI1YnX6?usp=sharing" TargetMode="External"/><Relationship Id="rId22" Type="http://schemas.openxmlformats.org/officeDocument/2006/relationships/hyperlink" Target="https://drive.google.com/drive/folders/1Z_93K5Q_JtBvKC2-QC_a9ZEusXI1YnX6?usp=sharing" TargetMode="External"/><Relationship Id="rId21" Type="http://schemas.openxmlformats.org/officeDocument/2006/relationships/hyperlink" Target="https://drive.google.com/drive/folders/1Z_93K5Q_JtBvKC2-QC_a9ZEusXI1YnX6?usp=sharing" TargetMode="External"/><Relationship Id="rId24" Type="http://schemas.openxmlformats.org/officeDocument/2006/relationships/hyperlink" Target="https://drive.google.com/drive/folders/1Z_93K5Q_JtBvKC2-QC_a9ZEusXI1YnX6?usp=sharing" TargetMode="External"/><Relationship Id="rId23" Type="http://schemas.openxmlformats.org/officeDocument/2006/relationships/hyperlink" Target="https://drive.google.com/drive/folders/1Z_93K5Q_JtBvKC2-QC_a9ZEusXI1YnX6?usp=sharing" TargetMode="External"/><Relationship Id="rId26" Type="http://schemas.openxmlformats.org/officeDocument/2006/relationships/hyperlink" Target="https://photos.app.goo.gl/FbSahjyj7VHVuVKp9" TargetMode="External"/><Relationship Id="rId25" Type="http://schemas.openxmlformats.org/officeDocument/2006/relationships/hyperlink" Target="https://drive.google.com/drive/folders/1Z_93K5Q_JtBvKC2-QC_a9ZEusXI1YnX6?usp=sharing" TargetMode="External"/><Relationship Id="rId28" Type="http://schemas.openxmlformats.org/officeDocument/2006/relationships/hyperlink" Target="https://docs.google.com/document/d/e/2PACX-1vRr8-XIHLVWC0t9ju5kdc52usx1GHYedtL-5gpre3rWuJaAkOL-v-FAsFiWSz7FxR9xokrBJQR43Wme/pub" TargetMode="External"/><Relationship Id="rId27" Type="http://schemas.openxmlformats.org/officeDocument/2006/relationships/hyperlink" Target="https://www.google.com/maps/d/edit?mid=10jLLy1vUyCoargxkagHS2LOEHkeZ2o0Y&amp;usp=sharing" TargetMode="External"/><Relationship Id="rId29" Type="http://schemas.openxmlformats.org/officeDocument/2006/relationships/hyperlink" Target="https://sites.google.com/view/3d-distributed" TargetMode="External"/><Relationship Id="rId11" Type="http://schemas.openxmlformats.org/officeDocument/2006/relationships/hyperlink" Target="https://sites.google.com/view/3d-distributed/duet3d" TargetMode="External"/><Relationship Id="rId10" Type="http://schemas.openxmlformats.org/officeDocument/2006/relationships/hyperlink" Target="https://drive.google.com/drive/folders/1Z_93K5Q_JtBvKC2-QC_a9ZEusXI1YnX6?usp=sharing" TargetMode="External"/><Relationship Id="rId13" Type="http://schemas.openxmlformats.org/officeDocument/2006/relationships/hyperlink" Target="https://sites.google.com/view/3d-distributed/duet3d/duet-wifi-setup" TargetMode="External"/><Relationship Id="rId12" Type="http://schemas.openxmlformats.org/officeDocument/2006/relationships/hyperlink" Target="https://drive.google.com/drive/folders/1Z_93K5Q_JtBvKC2-QC_a9ZEusXI1YnX6?usp=sharing" TargetMode="External"/><Relationship Id="rId15" Type="http://schemas.openxmlformats.org/officeDocument/2006/relationships/hyperlink" Target="https://docs.google.com/document/d/e/2PACX-1vRr8-XIHLVWC0t9ju5kdc52usx1GHYedtL-5gpre3rWuJaAkOL-v-FAsFiWSz7FxR9xokrBJQR43Wme/pub" TargetMode="External"/><Relationship Id="rId14" Type="http://schemas.openxmlformats.org/officeDocument/2006/relationships/hyperlink" Target="https://drive.google.com/drive/folders/1Z_93K5Q_JtBvKC2-QC_a9ZEusXI1YnX6?usp=sharing" TargetMode="External"/><Relationship Id="rId17" Type="http://schemas.openxmlformats.org/officeDocument/2006/relationships/hyperlink" Target="https://sites.google.com/view/3d-distributed/houston" TargetMode="External"/><Relationship Id="rId16" Type="http://schemas.openxmlformats.org/officeDocument/2006/relationships/hyperlink" Target="https://docs.google.com/spreadsheets/d/e/2PACX-1vRlWl89NaIsN4qn5FQPOHrKMhMopndtbfUMbZJ1GoZ8XxzzsjvwEAVviJqZkP1aZSycKZomW6uqMApW/pubhtml" TargetMode="External"/><Relationship Id="rId19" Type="http://schemas.openxmlformats.org/officeDocument/2006/relationships/hyperlink" Target="https://sites.google.com/view/3d-distributed" TargetMode="External"/><Relationship Id="rId18" Type="http://schemas.openxmlformats.org/officeDocument/2006/relationships/hyperlink" Target="https://sites.google.com/view/3d-distributed/houston/corexy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ShaneHooper/WorkHorse3DPrinter" TargetMode="External"/><Relationship Id="rId2" Type="http://schemas.openxmlformats.org/officeDocument/2006/relationships/hyperlink" Target="https://github.com/ShaneHooper/WorkHorse3DPrinter" TargetMode="External"/><Relationship Id="rId3" Type="http://schemas.openxmlformats.org/officeDocument/2006/relationships/hyperlink" Target="https://github.com/ShaneHooper" TargetMode="External"/><Relationship Id="rId4" Type="http://schemas.openxmlformats.org/officeDocument/2006/relationships/hyperlink" Target="https://github.com/ShaneHooper" TargetMode="External"/><Relationship Id="rId9" Type="http://schemas.openxmlformats.org/officeDocument/2006/relationships/hyperlink" Target="https://github.com/ShaneHooper/WorkHorse3DPrinter/wiki/Workhorse-3D-Printer" TargetMode="External"/><Relationship Id="rId5" Type="http://schemas.openxmlformats.org/officeDocument/2006/relationships/hyperlink" Target="https://github.com/ShaneHooper/WorkHorse3DPrinter/wiki" TargetMode="External"/><Relationship Id="rId6" Type="http://schemas.openxmlformats.org/officeDocument/2006/relationships/hyperlink" Target="https://github.com/ShaneHooper/WorkHorse3DPrinter/wiki" TargetMode="External"/><Relationship Id="rId7" Type="http://schemas.openxmlformats.org/officeDocument/2006/relationships/hyperlink" Target="https://github.com/ShaneHooper/WorkHorse3DPrinter/wiki/Workhorse-3D-Printer" TargetMode="External"/><Relationship Id="rId8" Type="http://schemas.openxmlformats.org/officeDocument/2006/relationships/hyperlink" Target="https://github.com/ShaneHooper/WorkHorse3DPrinter/wiki/Workhorse-3D-Printer" TargetMode="External"/><Relationship Id="rId11" Type="http://schemas.openxmlformats.org/officeDocument/2006/relationships/hyperlink" Target="https://camo.githubusercontent.com/5a8454e4967a04aa991616b918e560a8cee61f497d2fd0e4b2d1c9c4a1b13937/68747470733a2f2f336464697374726962757465642e636f6d2f77702d636f6e74656e742f75706c6f6164732f323032302f30372f5072696e74696e672d61742d7468652d636f6c6c6567652e30305f30305f30365f30302e5374696c6c3031352d31303234783537362e6a7067" TargetMode="External"/><Relationship Id="rId10" Type="http://schemas.openxmlformats.org/officeDocument/2006/relationships/hyperlink" Target="https://github.com/ShaneHooper/WorkHorse3DPrinter/wiki/Workhorse-3D-Printer" TargetMode="External"/><Relationship Id="rId13" Type="http://schemas.openxmlformats.org/officeDocument/2006/relationships/hyperlink" Target="https://docs.google.com/spreadsheets/d/e/2PACX-1vTxn7htvFtjnHy3c-aE7AWD3RwSHZLMR93Sfj00Tsdaffhh9jzKmrSqpU3crwOTXw/pubhtml" TargetMode="External"/><Relationship Id="rId12" Type="http://schemas.openxmlformats.org/officeDocument/2006/relationships/hyperlink" Target="https://docs.google.com/spreadsheets/d/1gP2sXpk0kmG8WtHmKsT5NyTBm8-RnpTb/edit?usp=sharing&amp;ouid=105073050094289542352&amp;rtpof=true&amp;sd=true" TargetMode="External"/><Relationship Id="rId1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ackster.io/ShaneHooper/large-diy-3d-printer-with-all-lead-screw-0add9b" TargetMode="External"/><Relationship Id="rId2" Type="http://schemas.openxmlformats.org/officeDocument/2006/relationships/hyperlink" Target="https://www.hackster.io/ShaneHooper/large-diy-3d-printer-with-all-lead-screw-0add9b" TargetMode="External"/><Relationship Id="rId3" Type="http://schemas.openxmlformats.org/officeDocument/2006/relationships/hyperlink" Target="https://hackaday.io/project/177793-large-diy-3d-printer-with-all-lead-screw" TargetMode="External"/><Relationship Id="rId4" Type="http://schemas.openxmlformats.org/officeDocument/2006/relationships/hyperlink" Target="https://hackaday.io/project/177793-large-diy-3d-printer-with-all-lead-screw" TargetMode="External"/><Relationship Id="rId9" Type="http://schemas.openxmlformats.org/officeDocument/2006/relationships/hyperlink" Target="https://gallery.autodesk.com/projects/159034/workhorse-3d-printer---large-format-diy-3d-printer-with-all-lead-screw---fixed-bed---moving-gantry" TargetMode="External"/><Relationship Id="rId5" Type="http://schemas.openxmlformats.org/officeDocument/2006/relationships/hyperlink" Target="https://www.thingiverse.com/thing:2764064" TargetMode="External"/><Relationship Id="rId6" Type="http://schemas.openxmlformats.org/officeDocument/2006/relationships/hyperlink" Target="https://www.thingiverse.com/thing:2764064" TargetMode="External"/><Relationship Id="rId7" Type="http://schemas.openxmlformats.org/officeDocument/2006/relationships/hyperlink" Target="https://openbuilds.com/builds/workhorse-3d-printer.8576/" TargetMode="External"/><Relationship Id="rId8" Type="http://schemas.openxmlformats.org/officeDocument/2006/relationships/hyperlink" Target="https://openbuilds.com/builds/workhorse-3d-printer.8576/" TargetMode="External"/><Relationship Id="rId20" Type="http://schemas.openxmlformats.org/officeDocument/2006/relationships/hyperlink" Target="https://docs.google.com/spreadsheets/d/e/2PACX-1vTxn7htvFtjnHy3c-aE7AWD3RwSHZLMR93Sfj00Tsdaffhh9jzKmrSqpU3crwOTXw/pubhtml" TargetMode="External"/><Relationship Id="rId21" Type="http://schemas.openxmlformats.org/officeDocument/2006/relationships/drawing" Target="../drawings/drawing4.xml"/><Relationship Id="rId11" Type="http://schemas.openxmlformats.org/officeDocument/2006/relationships/hyperlink" Target="https://www.myminifactory.com/object/3d-print-workhorse-3d-printer-large-scale-xyz-lead-screw-moving-gantry-fixed-bed-160639" TargetMode="External"/><Relationship Id="rId10" Type="http://schemas.openxmlformats.org/officeDocument/2006/relationships/hyperlink" Target="https://gallery.autodesk.com/projects/159034/workhorse-3d-printer---large-format-diy-3d-printer-with-all-lead-screw---fixed-bed---moving-gantry" TargetMode="External"/><Relationship Id="rId13" Type="http://schemas.openxmlformats.org/officeDocument/2006/relationships/hyperlink" Target="https://grabcad.com/library/workhorse-3d-printer-large-diy-3d-printer-with-xyz-axis-lead-screw-fixed-bed-moving-gantry-1" TargetMode="External"/><Relationship Id="rId12" Type="http://schemas.openxmlformats.org/officeDocument/2006/relationships/hyperlink" Target="https://www.myminifactory.com/object/3d-print-workhorse-3d-printer-large-scale-xyz-lead-screw-moving-gantry-fixed-bed-160639" TargetMode="External"/><Relationship Id="rId15" Type="http://schemas.openxmlformats.org/officeDocument/2006/relationships/hyperlink" Target="https://wikifactory.com/@shanehooper/workhorse-3d-printer" TargetMode="External"/><Relationship Id="rId14" Type="http://schemas.openxmlformats.org/officeDocument/2006/relationships/hyperlink" Target="https://grabcad.com/library/workhorse-3d-printer-large-diy-3d-printer-with-xyz-axis-lead-screw-fixed-bed-moving-gantry-1" TargetMode="External"/><Relationship Id="rId17" Type="http://schemas.openxmlformats.org/officeDocument/2006/relationships/hyperlink" Target="https://thangs.com/3ddistributed/Workhorse-3D-Printer-12565" TargetMode="External"/><Relationship Id="rId16" Type="http://schemas.openxmlformats.org/officeDocument/2006/relationships/hyperlink" Target="https://wikifactory.com/@shanehooper/workhorse-3d-printer" TargetMode="External"/><Relationship Id="rId19" Type="http://schemas.openxmlformats.org/officeDocument/2006/relationships/hyperlink" Target="https://docs.google.com/spreadsheets/d/1gP2sXpk0kmG8WtHmKsT5NyTBm8-RnpTb/edit?usp=sharing&amp;ouid=105073050094289542352&amp;rtpof=true&amp;sd=true" TargetMode="External"/><Relationship Id="rId18" Type="http://schemas.openxmlformats.org/officeDocument/2006/relationships/hyperlink" Target="https://thangs.com/3ddistributed/Workhorse-3D-Printer-12565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ddit.com/r/WorkHorse3DPrinter/" TargetMode="External"/><Relationship Id="rId2" Type="http://schemas.openxmlformats.org/officeDocument/2006/relationships/hyperlink" Target="https://www.reddit.com/r/WorkHorse3DPrinter/comments/qdxc7o/wiring_up_the_duet_3_mainboard/?utm_source=share&amp;utm_medium=web2x&amp;context=3" TargetMode="External"/><Relationship Id="rId3" Type="http://schemas.openxmlformats.org/officeDocument/2006/relationships/hyperlink" Target="https://www.reddit.com/r/WorkHorse3DPrinter/comments/qdwftr/workhorse_printer_build_update/?utm_source=share&amp;utm_medium=web2x&amp;context=3" TargetMode="External"/><Relationship Id="rId4" Type="http://schemas.openxmlformats.org/officeDocument/2006/relationships/hyperlink" Target="https://www.reddit.com/r/WorkHorse3DPrinter/comments/nwnv6c/building_a_workhorse_printer_with_a_3030_frame/?utm_source=share&amp;utm_medium=web2x&amp;context=3" TargetMode="External"/><Relationship Id="rId5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9.14"/>
    <col customWidth="1" min="2" max="2" width="30.71"/>
    <col customWidth="1" min="3" max="3" width="38.71"/>
    <col customWidth="1" min="4" max="4" width="21.57"/>
    <col customWidth="1" min="5" max="5" width="38.14"/>
    <col customWidth="1" min="6" max="6" width="25.29"/>
    <col customWidth="1" min="7" max="7" width="8.71"/>
    <col customWidth="1" min="8" max="8" width="11.86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  <c r="B4" s="5" t="s">
        <v>4</v>
      </c>
      <c r="C4" s="6" t="s">
        <v>5</v>
      </c>
      <c r="D4" s="5" t="s">
        <v>6</v>
      </c>
      <c r="E4" s="7"/>
      <c r="F4" s="7"/>
    </row>
    <row r="5">
      <c r="A5" s="8" t="s">
        <v>7</v>
      </c>
      <c r="B5" s="9">
        <v>10.95</v>
      </c>
      <c r="C5" s="10" t="s">
        <v>8</v>
      </c>
      <c r="D5" s="11" t="s">
        <v>9</v>
      </c>
      <c r="E5" s="12"/>
      <c r="F5" s="12"/>
    </row>
    <row r="6">
      <c r="A6" s="8" t="s">
        <v>10</v>
      </c>
      <c r="B6" s="11">
        <v>17.95</v>
      </c>
      <c r="C6" s="8" t="s">
        <v>11</v>
      </c>
      <c r="D6" s="11" t="s">
        <v>9</v>
      </c>
      <c r="E6" s="12"/>
      <c r="F6" s="12"/>
    </row>
    <row r="7">
      <c r="A7" s="8" t="s">
        <v>12</v>
      </c>
      <c r="B7" s="11">
        <v>17.95</v>
      </c>
      <c r="C7" s="8" t="s">
        <v>13</v>
      </c>
      <c r="D7" s="11" t="s">
        <v>14</v>
      </c>
      <c r="E7" s="12"/>
      <c r="F7" s="12"/>
    </row>
    <row r="8">
      <c r="A8" s="8" t="s">
        <v>15</v>
      </c>
      <c r="B8" s="13" t="s">
        <v>16</v>
      </c>
      <c r="C8" s="11"/>
      <c r="D8" s="11" t="s">
        <v>14</v>
      </c>
      <c r="E8" s="14"/>
      <c r="F8" s="14"/>
    </row>
    <row r="9">
      <c r="A9" s="15"/>
      <c r="B9" s="16"/>
      <c r="C9" s="17"/>
      <c r="D9" s="16"/>
    </row>
    <row r="10">
      <c r="A10" s="18"/>
      <c r="B10" s="16"/>
      <c r="C10" s="16"/>
      <c r="D10" s="16"/>
    </row>
    <row r="11">
      <c r="A11" s="6" t="s">
        <v>17</v>
      </c>
      <c r="B11" s="5" t="s">
        <v>18</v>
      </c>
      <c r="C11" s="5" t="s">
        <v>5</v>
      </c>
      <c r="D11" s="5" t="s">
        <v>19</v>
      </c>
      <c r="E11" s="12"/>
      <c r="F11" s="12"/>
      <c r="G11" s="12"/>
      <c r="H11" s="12"/>
    </row>
    <row r="12">
      <c r="A12" s="8" t="s">
        <v>20</v>
      </c>
      <c r="B12" s="19">
        <v>93.23</v>
      </c>
      <c r="C12" s="20" t="s">
        <v>21</v>
      </c>
      <c r="D12" s="21" t="s">
        <v>22</v>
      </c>
      <c r="E12" s="22"/>
      <c r="F12" s="12"/>
      <c r="G12" s="12"/>
      <c r="H12" s="12"/>
    </row>
    <row r="13">
      <c r="A13" s="8" t="s">
        <v>23</v>
      </c>
      <c r="B13" s="19">
        <v>74.8</v>
      </c>
      <c r="C13" s="20" t="s">
        <v>21</v>
      </c>
      <c r="D13" s="21" t="s">
        <v>22</v>
      </c>
      <c r="E13" s="12"/>
      <c r="F13" s="12"/>
      <c r="G13" s="12"/>
      <c r="H13" s="12"/>
    </row>
    <row r="14">
      <c r="A14" s="8" t="s">
        <v>24</v>
      </c>
      <c r="B14" s="19">
        <v>35.78</v>
      </c>
      <c r="C14" s="20" t="s">
        <v>25</v>
      </c>
      <c r="D14" s="17" t="s">
        <v>26</v>
      </c>
      <c r="E14" s="12"/>
      <c r="F14" s="12"/>
      <c r="G14" s="12"/>
      <c r="H14" s="12"/>
    </row>
    <row r="15">
      <c r="A15" s="8" t="s">
        <v>27</v>
      </c>
      <c r="B15" s="23">
        <v>23.95</v>
      </c>
      <c r="C15" s="24"/>
      <c r="D15" s="11"/>
      <c r="E15" s="12"/>
      <c r="F15" s="12"/>
      <c r="G15" s="12"/>
      <c r="H15" s="12"/>
    </row>
    <row r="16">
      <c r="A16" s="8"/>
      <c r="B16" s="19"/>
      <c r="C16" s="11"/>
      <c r="D16" s="25"/>
      <c r="E16" s="12"/>
      <c r="F16" s="12"/>
      <c r="G16" s="12"/>
      <c r="H16" s="12"/>
    </row>
    <row r="17">
      <c r="A17" s="11" t="s">
        <v>28</v>
      </c>
      <c r="B17" s="19">
        <f>(B12*2)+B13+(B14*3)+(B15*2)</f>
        <v>416.5</v>
      </c>
      <c r="C17" s="11"/>
      <c r="D17" s="11"/>
      <c r="E17" s="12"/>
      <c r="F17" s="12"/>
      <c r="G17" s="12"/>
      <c r="H17" s="12"/>
    </row>
    <row r="18">
      <c r="A18" s="26"/>
      <c r="B18" s="12"/>
      <c r="C18" s="27"/>
    </row>
    <row r="19">
      <c r="A19" s="26"/>
      <c r="B19" s="12"/>
      <c r="C19" s="27"/>
    </row>
    <row r="20">
      <c r="A20" s="6" t="s">
        <v>29</v>
      </c>
      <c r="B20" s="5" t="s">
        <v>18</v>
      </c>
      <c r="C20" s="5" t="s">
        <v>30</v>
      </c>
      <c r="D20" s="5" t="s">
        <v>31</v>
      </c>
    </row>
    <row r="21">
      <c r="A21" s="11" t="s">
        <v>32</v>
      </c>
      <c r="B21" s="23">
        <v>29.95</v>
      </c>
      <c r="C21" s="11" t="s">
        <v>33</v>
      </c>
      <c r="D21" s="8" t="s">
        <v>34</v>
      </c>
    </row>
    <row r="22">
      <c r="A22" s="11" t="s">
        <v>35</v>
      </c>
      <c r="B22" s="23">
        <v>61.95</v>
      </c>
      <c r="C22" s="11" t="s">
        <v>33</v>
      </c>
      <c r="D22" s="8" t="s">
        <v>34</v>
      </c>
    </row>
    <row r="23" ht="15.75" customHeight="1">
      <c r="A23" s="11" t="s">
        <v>36</v>
      </c>
      <c r="B23" s="19">
        <v>44.95</v>
      </c>
      <c r="C23" s="11" t="s">
        <v>33</v>
      </c>
      <c r="D23" s="8" t="s">
        <v>34</v>
      </c>
    </row>
    <row r="24" ht="15.75" customHeight="1">
      <c r="A24" s="11" t="s">
        <v>28</v>
      </c>
      <c r="B24" s="19">
        <f>B21+(B22*2)+(B23*4)</f>
        <v>333.65</v>
      </c>
      <c r="C24" s="16"/>
      <c r="D24" s="16"/>
    </row>
    <row r="25" ht="15.75" customHeight="1">
      <c r="A25" s="11" t="s">
        <v>37</v>
      </c>
      <c r="B25" s="28">
        <v>361.17</v>
      </c>
      <c r="C25" s="16"/>
      <c r="D25" s="16"/>
    </row>
    <row r="26" ht="15.75" customHeight="1">
      <c r="A26" s="29"/>
      <c r="B26" s="12"/>
      <c r="C26" s="30"/>
    </row>
    <row r="27" ht="15.75" customHeight="1">
      <c r="A27" s="29"/>
      <c r="B27" s="12"/>
      <c r="C27" s="30"/>
    </row>
    <row r="28" ht="15.75" customHeight="1">
      <c r="A28" s="29"/>
      <c r="B28" s="31"/>
      <c r="C28" s="30"/>
    </row>
    <row r="29" ht="15.75" customHeight="1">
      <c r="A29" s="29"/>
      <c r="B29" s="12"/>
      <c r="C29" s="30"/>
    </row>
    <row r="30" ht="15.75" customHeight="1">
      <c r="A30" s="29"/>
      <c r="B30" s="12"/>
      <c r="C30" s="30"/>
    </row>
    <row r="31" ht="15.75" customHeight="1">
      <c r="A31" s="6" t="s">
        <v>38</v>
      </c>
      <c r="B31" s="5" t="s">
        <v>39</v>
      </c>
      <c r="C31" s="5" t="s">
        <v>31</v>
      </c>
    </row>
    <row r="32" ht="15.75" customHeight="1">
      <c r="A32" s="11" t="s">
        <v>40</v>
      </c>
      <c r="B32" s="19">
        <v>65.0</v>
      </c>
      <c r="C32" s="8" t="s">
        <v>0</v>
      </c>
    </row>
    <row r="33" ht="15.75" customHeight="1">
      <c r="A33" s="8" t="s">
        <v>41</v>
      </c>
      <c r="B33" s="19">
        <v>44.8</v>
      </c>
      <c r="C33" s="8" t="s">
        <v>0</v>
      </c>
    </row>
    <row r="34" ht="15.75" customHeight="1">
      <c r="A34" s="8" t="s">
        <v>42</v>
      </c>
      <c r="B34" s="19">
        <v>19.95</v>
      </c>
      <c r="C34" s="8" t="s">
        <v>0</v>
      </c>
    </row>
    <row r="35" ht="15.75" customHeight="1">
      <c r="A35" s="8" t="s">
        <v>43</v>
      </c>
      <c r="B35" s="19">
        <v>15.5</v>
      </c>
      <c r="C35" s="8" t="s">
        <v>0</v>
      </c>
    </row>
    <row r="36" ht="15.75" customHeight="1">
      <c r="A36" s="11" t="s">
        <v>44</v>
      </c>
      <c r="B36" s="19">
        <v>17.5</v>
      </c>
      <c r="C36" s="8" t="s">
        <v>0</v>
      </c>
    </row>
    <row r="37" ht="15.75" customHeight="1">
      <c r="A37" s="8" t="s">
        <v>45</v>
      </c>
      <c r="B37" s="19">
        <v>16.0</v>
      </c>
      <c r="C37" s="8" t="s">
        <v>0</v>
      </c>
    </row>
    <row r="38" ht="15.75" customHeight="1">
      <c r="A38" s="11" t="s">
        <v>46</v>
      </c>
      <c r="B38" s="19">
        <v>37.5</v>
      </c>
      <c r="C38" s="8" t="s">
        <v>0</v>
      </c>
    </row>
    <row r="39" ht="15.75" customHeight="1">
      <c r="A39" s="32" t="s">
        <v>47</v>
      </c>
      <c r="B39" s="19">
        <v>100.0</v>
      </c>
      <c r="C39" s="8" t="s">
        <v>0</v>
      </c>
    </row>
    <row r="40" ht="15.75" customHeight="1">
      <c r="A40" s="32" t="s">
        <v>48</v>
      </c>
      <c r="B40" s="11"/>
      <c r="C40" s="16"/>
    </row>
    <row r="41" ht="15.75" customHeight="1">
      <c r="A41" s="11" t="s">
        <v>28</v>
      </c>
      <c r="B41" s="19">
        <f>B32+B33+B34+B35+B36+B37+B38+B39</f>
        <v>316.25</v>
      </c>
      <c r="C41" s="16"/>
    </row>
    <row r="42" ht="15.75" customHeight="1">
      <c r="A42" s="12"/>
      <c r="B42" s="12"/>
    </row>
    <row r="43" ht="15.75" customHeight="1">
      <c r="A43" s="12"/>
      <c r="B43" s="12"/>
    </row>
    <row r="44" ht="15.75" customHeight="1">
      <c r="A44" s="12"/>
      <c r="B44" s="12"/>
    </row>
    <row r="45" ht="15.75" customHeight="1">
      <c r="A45" s="6" t="s">
        <v>49</v>
      </c>
      <c r="B45" s="5" t="s">
        <v>50</v>
      </c>
      <c r="C45" s="5" t="s">
        <v>51</v>
      </c>
      <c r="D45" s="5" t="s">
        <v>19</v>
      </c>
      <c r="E45" s="5" t="s">
        <v>52</v>
      </c>
    </row>
    <row r="46" ht="21.0" customHeight="1">
      <c r="A46" s="17" t="s">
        <v>53</v>
      </c>
      <c r="B46" s="11" t="s">
        <v>54</v>
      </c>
      <c r="C46" s="11" t="s">
        <v>55</v>
      </c>
      <c r="D46" s="11" t="s">
        <v>56</v>
      </c>
      <c r="E46" s="33" t="s">
        <v>57</v>
      </c>
    </row>
    <row r="47" ht="15.75" customHeight="1">
      <c r="A47" s="17" t="s">
        <v>53</v>
      </c>
      <c r="B47" s="11" t="s">
        <v>58</v>
      </c>
      <c r="C47" s="11" t="s">
        <v>59</v>
      </c>
      <c r="D47" s="11" t="s">
        <v>60</v>
      </c>
      <c r="E47" s="11" t="s">
        <v>61</v>
      </c>
    </row>
    <row r="48" ht="15.75" customHeight="1">
      <c r="A48" s="17" t="s">
        <v>53</v>
      </c>
      <c r="B48" s="11" t="s">
        <v>62</v>
      </c>
      <c r="C48" s="11" t="s">
        <v>63</v>
      </c>
      <c r="D48" s="11" t="s">
        <v>64</v>
      </c>
      <c r="E48" s="11" t="s">
        <v>65</v>
      </c>
    </row>
    <row r="49" ht="15.75" customHeight="1">
      <c r="A49" s="17" t="s">
        <v>53</v>
      </c>
      <c r="B49" s="11" t="s">
        <v>66</v>
      </c>
      <c r="C49" s="11" t="s">
        <v>67</v>
      </c>
      <c r="D49" s="11" t="s">
        <v>68</v>
      </c>
      <c r="E49" s="17" t="s">
        <v>69</v>
      </c>
    </row>
    <row r="50" ht="15.75" customHeight="1">
      <c r="A50" s="5" t="s">
        <v>70</v>
      </c>
      <c r="B50" s="5" t="s">
        <v>50</v>
      </c>
      <c r="C50" s="5" t="s">
        <v>51</v>
      </c>
      <c r="D50" s="5" t="s">
        <v>19</v>
      </c>
      <c r="E50" s="5" t="s">
        <v>71</v>
      </c>
    </row>
    <row r="51" ht="15.75" customHeight="1">
      <c r="A51" s="34" t="s">
        <v>72</v>
      </c>
      <c r="B51" s="11" t="s">
        <v>73</v>
      </c>
      <c r="C51" s="11" t="s">
        <v>9</v>
      </c>
      <c r="D51" s="11" t="s">
        <v>74</v>
      </c>
      <c r="E51" s="11" t="s">
        <v>75</v>
      </c>
    </row>
    <row r="52" ht="15.75" customHeight="1">
      <c r="A52" s="34" t="s">
        <v>72</v>
      </c>
      <c r="B52" s="11" t="s">
        <v>76</v>
      </c>
      <c r="C52" s="11" t="s">
        <v>14</v>
      </c>
      <c r="D52" s="11"/>
      <c r="E52" s="11"/>
    </row>
    <row r="53" ht="15.75" customHeight="1">
      <c r="A53" s="34" t="s">
        <v>72</v>
      </c>
      <c r="B53" s="11" t="s">
        <v>77</v>
      </c>
      <c r="C53" s="11" t="s">
        <v>78</v>
      </c>
      <c r="D53" s="11" t="s">
        <v>79</v>
      </c>
      <c r="E53" s="11" t="s">
        <v>80</v>
      </c>
    </row>
    <row r="54" ht="15.75" customHeight="1">
      <c r="A54" s="35" t="s">
        <v>81</v>
      </c>
      <c r="B54" s="5" t="s">
        <v>82</v>
      </c>
      <c r="C54" s="5" t="s">
        <v>51</v>
      </c>
      <c r="D54" s="5" t="s">
        <v>19</v>
      </c>
      <c r="E54" s="5" t="s">
        <v>71</v>
      </c>
    </row>
    <row r="55" ht="15.75" customHeight="1">
      <c r="A55" s="36" t="s">
        <v>83</v>
      </c>
      <c r="B55" s="11" t="s">
        <v>84</v>
      </c>
      <c r="C55" s="11" t="s">
        <v>85</v>
      </c>
      <c r="D55" s="11" t="s">
        <v>86</v>
      </c>
      <c r="E55" s="11" t="s">
        <v>87</v>
      </c>
    </row>
    <row r="56" ht="15.75" customHeight="1">
      <c r="A56" s="36" t="s">
        <v>83</v>
      </c>
      <c r="B56" s="11" t="s">
        <v>88</v>
      </c>
      <c r="C56" s="11" t="s">
        <v>89</v>
      </c>
      <c r="D56" s="11" t="s">
        <v>88</v>
      </c>
      <c r="E56" s="11" t="s">
        <v>90</v>
      </c>
    </row>
    <row r="57" ht="15.75" customHeight="1">
      <c r="A57" s="36" t="s">
        <v>83</v>
      </c>
      <c r="B57" s="11" t="s">
        <v>91</v>
      </c>
      <c r="C57" s="11" t="s">
        <v>92</v>
      </c>
      <c r="D57" s="11" t="s">
        <v>91</v>
      </c>
      <c r="E57" s="11" t="s">
        <v>93</v>
      </c>
    </row>
    <row r="58" ht="15.75" customHeight="1">
      <c r="A58" s="36" t="s">
        <v>83</v>
      </c>
      <c r="B58" s="11" t="s">
        <v>94</v>
      </c>
      <c r="C58" s="11" t="s">
        <v>89</v>
      </c>
      <c r="D58" s="11" t="s">
        <v>94</v>
      </c>
      <c r="E58" s="11" t="s">
        <v>95</v>
      </c>
    </row>
    <row r="59" ht="15.75" customHeight="1">
      <c r="A59" s="37"/>
      <c r="B59" s="11"/>
      <c r="C59" s="16"/>
      <c r="D59" s="16"/>
      <c r="E59" s="16"/>
    </row>
    <row r="60" ht="15.75" customHeight="1">
      <c r="A60" s="5" t="s">
        <v>96</v>
      </c>
      <c r="B60" s="5" t="s">
        <v>39</v>
      </c>
      <c r="C60" s="38" t="s">
        <v>97</v>
      </c>
      <c r="D60" s="39"/>
      <c r="E60" s="39"/>
    </row>
    <row r="61" ht="15.75" customHeight="1">
      <c r="A61" s="8" t="s">
        <v>98</v>
      </c>
      <c r="B61" s="19">
        <v>122.29</v>
      </c>
      <c r="C61" s="16"/>
      <c r="D61" s="16" t="s">
        <v>99</v>
      </c>
      <c r="E61" s="16"/>
    </row>
    <row r="62" ht="15.75" customHeight="1">
      <c r="A62" s="8" t="s">
        <v>100</v>
      </c>
      <c r="B62" s="19">
        <v>9.99</v>
      </c>
      <c r="C62" s="16"/>
      <c r="D62" s="40">
        <v>225.0</v>
      </c>
      <c r="E62" s="16"/>
    </row>
    <row r="63" ht="15.75" customHeight="1">
      <c r="A63" s="11" t="s">
        <v>101</v>
      </c>
      <c r="B63" s="19">
        <v>40.32</v>
      </c>
      <c r="C63" s="16"/>
      <c r="D63" s="16"/>
      <c r="E63" s="16"/>
    </row>
    <row r="64" ht="15.75" customHeight="1">
      <c r="A64" s="11" t="s">
        <v>102</v>
      </c>
      <c r="B64" s="19">
        <v>19.32</v>
      </c>
      <c r="C64" s="16"/>
      <c r="D64" s="16"/>
      <c r="E64" s="16"/>
    </row>
    <row r="65" ht="15.75" customHeight="1">
      <c r="A65" s="8" t="s">
        <v>103</v>
      </c>
      <c r="B65" s="19">
        <v>17.71</v>
      </c>
      <c r="C65" s="16">
        <v>11.99</v>
      </c>
      <c r="D65" s="16"/>
      <c r="E65" s="16"/>
    </row>
    <row r="66" ht="15.75" customHeight="1">
      <c r="A66" s="11" t="s">
        <v>28</v>
      </c>
      <c r="B66" s="19">
        <f>B61+B62+B63+B64</f>
        <v>191.92</v>
      </c>
      <c r="C66" s="16"/>
      <c r="D66" s="16"/>
      <c r="E66" s="16"/>
    </row>
    <row r="67" ht="15.75" customHeight="1"/>
    <row r="68" ht="15.75" customHeight="1">
      <c r="A68" s="41" t="s">
        <v>104</v>
      </c>
    </row>
    <row r="69" ht="15.75" customHeight="1">
      <c r="A69" s="41" t="s">
        <v>104</v>
      </c>
    </row>
    <row r="70" ht="15.75" customHeight="1">
      <c r="A70" s="41" t="s">
        <v>0</v>
      </c>
    </row>
    <row r="71" ht="15.75" customHeight="1">
      <c r="A71" s="41" t="s">
        <v>105</v>
      </c>
    </row>
    <row r="72" ht="15.75" customHeight="1">
      <c r="A72" s="41" t="s">
        <v>106</v>
      </c>
    </row>
    <row r="73" ht="15.75" customHeight="1">
      <c r="A73" s="41" t="s">
        <v>107</v>
      </c>
    </row>
    <row r="74" ht="15.75" customHeight="1"/>
    <row r="75" ht="15.75" customHeight="1">
      <c r="A75" s="42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>
      <c r="A86" s="43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hyperlinks>
    <hyperlink r:id="rId1" ref="A1"/>
    <hyperlink r:id="rId2" ref="A2"/>
    <hyperlink r:id="rId3" ref="A3"/>
    <hyperlink r:id="rId4" ref="A4"/>
    <hyperlink r:id="rId5" ref="C4"/>
    <hyperlink r:id="rId6" ref="A5"/>
    <hyperlink r:id="rId7" ref="C5"/>
    <hyperlink r:id="rId8" ref="A6"/>
    <hyperlink r:id="rId9" ref="C6"/>
    <hyperlink r:id="rId10" ref="A7"/>
    <hyperlink r:id="rId11" ref="C7"/>
    <hyperlink r:id="rId12" ref="A8"/>
    <hyperlink r:id="rId13" ref="A11"/>
    <hyperlink r:id="rId14" ref="A12"/>
    <hyperlink r:id="rId15" ref="C12"/>
    <hyperlink r:id="rId16" ref="A13"/>
    <hyperlink r:id="rId17" ref="C13"/>
    <hyperlink r:id="rId18" ref="A14"/>
    <hyperlink r:id="rId19" ref="C14"/>
    <hyperlink r:id="rId20" ref="A15"/>
    <hyperlink r:id="rId21" ref="A20"/>
    <hyperlink r:id="rId22" ref="D21"/>
    <hyperlink r:id="rId23" ref="D22"/>
    <hyperlink r:id="rId24" ref="D23"/>
    <hyperlink r:id="rId25" ref="A31"/>
    <hyperlink r:id="rId26" ref="C32"/>
    <hyperlink r:id="rId27" ref="A33"/>
    <hyperlink r:id="rId28" ref="C33"/>
    <hyperlink r:id="rId29" ref="A34"/>
    <hyperlink r:id="rId30" ref="C34"/>
    <hyperlink r:id="rId31" ref="A35"/>
    <hyperlink r:id="rId32" ref="C35"/>
    <hyperlink r:id="rId33" ref="C36"/>
    <hyperlink r:id="rId34" ref="A37"/>
    <hyperlink r:id="rId35" ref="C37"/>
    <hyperlink r:id="rId36" ref="C38"/>
    <hyperlink r:id="rId37" ref="A39"/>
    <hyperlink r:id="rId38" ref="C39"/>
    <hyperlink r:id="rId39" ref="A40"/>
    <hyperlink r:id="rId40" ref="A45"/>
    <hyperlink r:id="rId41" ref="A54"/>
    <hyperlink r:id="rId42" ref="A55"/>
    <hyperlink r:id="rId43" ref="A56"/>
    <hyperlink r:id="rId44" ref="A57"/>
    <hyperlink r:id="rId45" ref="A58"/>
    <hyperlink r:id="rId46" ref="A61"/>
    <hyperlink r:id="rId47" ref="A62"/>
    <hyperlink r:id="rId48" ref="A65"/>
    <hyperlink r:id="rId49" ref="A68"/>
    <hyperlink r:id="rId50" ref="A69"/>
    <hyperlink display="3D Distributed" location="3D Distributed!A1" ref="A70"/>
    <hyperlink display="Workhorse 3D Printer" location="Workhorse 3D Printer!A1" ref="A71"/>
    <hyperlink display="CAD Files" location="3D Models!A1" ref="A72"/>
    <hyperlink display="Github" location="Github!A1" ref="A73"/>
  </hyperlinks>
  <printOptions gridLines="1" horizontalCentered="1"/>
  <pageMargins bottom="0.75" footer="0.0" header="0.0" left="0.7" right="0.7" top="0.75"/>
  <pageSetup cellComments="atEnd" orientation="landscape" pageOrder="overThenDown"/>
  <drawing r:id="rId5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86"/>
    <col customWidth="1" min="2" max="3" width="20.57"/>
  </cols>
  <sheetData>
    <row r="1">
      <c r="A1" s="44" t="s">
        <v>0</v>
      </c>
      <c r="B1" s="45"/>
    </row>
    <row r="2">
      <c r="A2" s="45"/>
      <c r="B2" s="45"/>
    </row>
    <row r="3">
      <c r="A3" s="46" t="s">
        <v>0</v>
      </c>
      <c r="B3" s="46" t="s">
        <v>0</v>
      </c>
    </row>
    <row r="4">
      <c r="A4" s="47" t="s">
        <v>108</v>
      </c>
      <c r="B4" s="47" t="s">
        <v>109</v>
      </c>
    </row>
    <row r="5">
      <c r="A5" s="47" t="s">
        <v>110</v>
      </c>
      <c r="B5" s="47" t="s">
        <v>111</v>
      </c>
    </row>
    <row r="6">
      <c r="A6" s="47" t="s">
        <v>112</v>
      </c>
      <c r="B6" s="47" t="s">
        <v>113</v>
      </c>
    </row>
    <row r="7">
      <c r="A7" s="47" t="s">
        <v>114</v>
      </c>
      <c r="B7" s="47" t="s">
        <v>115</v>
      </c>
    </row>
    <row r="8">
      <c r="A8" s="47" t="s">
        <v>116</v>
      </c>
      <c r="B8" s="47" t="s">
        <v>117</v>
      </c>
    </row>
    <row r="9">
      <c r="A9" s="47" t="s">
        <v>118</v>
      </c>
      <c r="B9" s="47"/>
    </row>
    <row r="10">
      <c r="A10" s="48"/>
      <c r="B10" s="47" t="s">
        <v>119</v>
      </c>
    </row>
    <row r="11">
      <c r="A11" s="47" t="s">
        <v>120</v>
      </c>
      <c r="B11" s="47" t="s">
        <v>121</v>
      </c>
    </row>
    <row r="12">
      <c r="A12" s="48"/>
      <c r="B12" s="47" t="s">
        <v>116</v>
      </c>
    </row>
    <row r="13">
      <c r="A13" s="48"/>
      <c r="B13" s="49"/>
    </row>
    <row r="14">
      <c r="A14" s="50" t="s">
        <v>0</v>
      </c>
      <c r="B14" s="49"/>
    </row>
    <row r="15">
      <c r="A15" s="47" t="s">
        <v>108</v>
      </c>
      <c r="B15" s="49"/>
    </row>
    <row r="16">
      <c r="A16" s="47" t="s">
        <v>110</v>
      </c>
      <c r="B16" s="49"/>
    </row>
    <row r="17">
      <c r="A17" s="47" t="s">
        <v>112</v>
      </c>
      <c r="B17" s="49"/>
    </row>
    <row r="18">
      <c r="A18" s="47" t="s">
        <v>114</v>
      </c>
      <c r="B18" s="49"/>
    </row>
    <row r="19">
      <c r="A19" s="47" t="s">
        <v>116</v>
      </c>
      <c r="B19" s="49"/>
    </row>
    <row r="20">
      <c r="A20" s="47" t="s">
        <v>118</v>
      </c>
      <c r="B20" s="49"/>
    </row>
    <row r="21">
      <c r="A21" s="47" t="s">
        <v>122</v>
      </c>
      <c r="B21" s="49"/>
    </row>
    <row r="22">
      <c r="A22" s="47" t="s">
        <v>120</v>
      </c>
      <c r="B22" s="49"/>
    </row>
    <row r="23">
      <c r="A23" s="48"/>
      <c r="B23" s="49"/>
    </row>
    <row r="24">
      <c r="A24" s="47" t="s">
        <v>123</v>
      </c>
      <c r="B24" s="49"/>
    </row>
    <row r="26">
      <c r="A26" s="51" t="s">
        <v>0</v>
      </c>
    </row>
    <row r="27">
      <c r="A27" s="52" t="s">
        <v>108</v>
      </c>
    </row>
    <row r="28">
      <c r="A28" s="52" t="s">
        <v>110</v>
      </c>
    </row>
    <row r="29">
      <c r="A29" s="52" t="s">
        <v>112</v>
      </c>
    </row>
    <row r="30">
      <c r="A30" s="52" t="s">
        <v>114</v>
      </c>
    </row>
    <row r="31">
      <c r="A31" s="52" t="s">
        <v>116</v>
      </c>
    </row>
    <row r="32">
      <c r="A32" s="52" t="s">
        <v>118</v>
      </c>
    </row>
    <row r="33">
      <c r="A33" s="52" t="s">
        <v>122</v>
      </c>
    </row>
    <row r="34">
      <c r="A34" s="52" t="s">
        <v>120</v>
      </c>
    </row>
    <row r="35">
      <c r="A35" s="49"/>
    </row>
    <row r="36">
      <c r="A36" s="52" t="s">
        <v>123</v>
      </c>
    </row>
    <row r="38">
      <c r="A38" s="41" t="s">
        <v>104</v>
      </c>
    </row>
    <row r="39">
      <c r="A39" s="41" t="s">
        <v>104</v>
      </c>
    </row>
    <row r="40">
      <c r="A40" s="41" t="s">
        <v>0</v>
      </c>
    </row>
    <row r="41">
      <c r="A41" s="41" t="s">
        <v>105</v>
      </c>
    </row>
    <row r="42">
      <c r="A42" s="41" t="s">
        <v>106</v>
      </c>
    </row>
    <row r="43">
      <c r="A43" s="41" t="s">
        <v>107</v>
      </c>
    </row>
  </sheetData>
  <hyperlinks>
    <hyperlink r:id="rId1" ref="A1"/>
    <hyperlink r:id="rId2" ref="A3"/>
    <hyperlink r:id="rId3" ref="B3"/>
    <hyperlink r:id="rId4" ref="A4"/>
    <hyperlink r:id="rId5" ref="B4"/>
    <hyperlink r:id="rId6" ref="A5"/>
    <hyperlink r:id="rId7" ref="B5"/>
    <hyperlink r:id="rId8" ref="A6"/>
    <hyperlink r:id="rId9" ref="B6"/>
    <hyperlink r:id="rId10" ref="A7"/>
    <hyperlink r:id="rId11" ref="B7"/>
    <hyperlink r:id="rId12" ref="A8"/>
    <hyperlink r:id="rId13" ref="B8"/>
    <hyperlink r:id="rId14" ref="A9"/>
    <hyperlink r:id="rId15" ref="B10"/>
    <hyperlink r:id="rId16" ref="A11"/>
    <hyperlink r:id="rId17" ref="B11"/>
    <hyperlink r:id="rId18" ref="B12"/>
    <hyperlink r:id="rId19" ref="A14"/>
    <hyperlink r:id="rId20" ref="A15"/>
    <hyperlink r:id="rId21" ref="A16"/>
    <hyperlink r:id="rId22" ref="A17"/>
    <hyperlink r:id="rId23" ref="A18"/>
    <hyperlink r:id="rId24" ref="A19"/>
    <hyperlink r:id="rId25" ref="A20"/>
    <hyperlink r:id="rId26" ref="A21"/>
    <hyperlink r:id="rId27" ref="A22"/>
    <hyperlink r:id="rId28" ref="A24"/>
    <hyperlink r:id="rId29" ref="A26"/>
    <hyperlink r:id="rId30" ref="A27"/>
    <hyperlink r:id="rId31" ref="A28"/>
    <hyperlink r:id="rId32" ref="A29"/>
    <hyperlink r:id="rId33" ref="A30"/>
    <hyperlink r:id="rId34" ref="A31"/>
    <hyperlink r:id="rId35" ref="A32"/>
    <hyperlink r:id="rId36" ref="A33"/>
    <hyperlink r:id="rId37" ref="A34"/>
    <hyperlink r:id="rId38" ref="A36"/>
    <hyperlink r:id="rId39" ref="A38"/>
    <hyperlink r:id="rId40" ref="A39"/>
    <hyperlink display="3D Distributed" location="3D Distributed!A1" ref="A40"/>
    <hyperlink display="Workhorse 3D Printer" location="Workhorse 3D Printer!A1" ref="A41"/>
    <hyperlink display="CAD Files" location="3D Models!A1" ref="A42"/>
    <hyperlink display="Github" location="Github!A1" ref="A43"/>
  </hyperlinks>
  <drawing r:id="rId4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2.43"/>
    <col customWidth="1" min="2" max="2" width="97.14"/>
    <col customWidth="1" min="3" max="3" width="54.71"/>
  </cols>
  <sheetData>
    <row r="1">
      <c r="A1" s="53" t="s">
        <v>107</v>
      </c>
    </row>
    <row r="2">
      <c r="A2" s="54" t="s">
        <v>105</v>
      </c>
      <c r="B2" s="55" t="s">
        <v>124</v>
      </c>
    </row>
    <row r="3">
      <c r="A3" s="54" t="s">
        <v>125</v>
      </c>
      <c r="B3" s="55" t="s">
        <v>126</v>
      </c>
    </row>
    <row r="4">
      <c r="A4" s="54" t="s">
        <v>127</v>
      </c>
      <c r="B4" s="55" t="s">
        <v>128</v>
      </c>
    </row>
    <row r="5">
      <c r="A5" s="54" t="s">
        <v>129</v>
      </c>
      <c r="B5" s="55" t="s">
        <v>130</v>
      </c>
    </row>
    <row r="6">
      <c r="A6" s="54" t="s">
        <v>131</v>
      </c>
      <c r="B6" s="55" t="s">
        <v>132</v>
      </c>
    </row>
    <row r="7" ht="20.25" customHeight="1">
      <c r="A7" s="54" t="s">
        <v>105</v>
      </c>
    </row>
    <row r="9">
      <c r="A9" s="41" t="s">
        <v>104</v>
      </c>
    </row>
    <row r="10">
      <c r="A10" s="41" t="s">
        <v>104</v>
      </c>
    </row>
    <row r="11">
      <c r="A11" s="41" t="s">
        <v>0</v>
      </c>
    </row>
    <row r="12">
      <c r="A12" s="41" t="s">
        <v>105</v>
      </c>
    </row>
    <row r="13">
      <c r="A13" s="41" t="s">
        <v>106</v>
      </c>
    </row>
    <row r="14">
      <c r="A14" s="41" t="s">
        <v>107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location="lead-screw-motion-system" ref="A6"/>
    <hyperlink r:id="rId10" location="lead-screw-motion-system" ref="B6"/>
    <hyperlink r:id="rId11" ref="A7"/>
    <hyperlink r:id="rId12" ref="A9"/>
    <hyperlink r:id="rId13" ref="A10"/>
    <hyperlink display="3D Distributed" location="3D Distributed!A1" ref="A11"/>
    <hyperlink display="Workhorse 3D Printer" location="Workhorse 3D Printer!A1" ref="A12"/>
    <hyperlink display="CAD Files" location="3D Models!A1" ref="A13"/>
    <hyperlink display="Github" location="Github!A1" ref="A14"/>
  </hyperlinks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5.71"/>
    <col customWidth="1" min="2" max="2" width="126.43"/>
  </cols>
  <sheetData>
    <row r="1">
      <c r="A1" s="56" t="s">
        <v>133</v>
      </c>
    </row>
    <row r="2">
      <c r="A2" s="57" t="s">
        <v>134</v>
      </c>
      <c r="B2" s="58" t="s">
        <v>135</v>
      </c>
    </row>
    <row r="3">
      <c r="A3" s="57" t="s">
        <v>136</v>
      </c>
      <c r="B3" s="59" t="s">
        <v>137</v>
      </c>
    </row>
    <row r="4">
      <c r="A4" s="57" t="s">
        <v>138</v>
      </c>
      <c r="B4" s="58" t="s">
        <v>139</v>
      </c>
    </row>
    <row r="5">
      <c r="A5" s="57" t="s">
        <v>140</v>
      </c>
      <c r="B5" s="58" t="s">
        <v>141</v>
      </c>
    </row>
    <row r="6">
      <c r="A6" s="57" t="s">
        <v>142</v>
      </c>
      <c r="B6" s="58" t="s">
        <v>143</v>
      </c>
    </row>
    <row r="7">
      <c r="A7" s="57" t="s">
        <v>144</v>
      </c>
      <c r="B7" s="58" t="s">
        <v>145</v>
      </c>
    </row>
    <row r="8">
      <c r="A8" s="57" t="s">
        <v>146</v>
      </c>
      <c r="B8" s="58" t="s">
        <v>147</v>
      </c>
    </row>
    <row r="9">
      <c r="A9" s="57" t="s">
        <v>148</v>
      </c>
      <c r="B9" s="58" t="s">
        <v>149</v>
      </c>
    </row>
    <row r="10">
      <c r="A10" s="57" t="s">
        <v>150</v>
      </c>
      <c r="B10" s="58" t="s">
        <v>151</v>
      </c>
    </row>
    <row r="11">
      <c r="A11" s="60"/>
      <c r="B11" s="61"/>
    </row>
    <row r="13">
      <c r="A13" s="41" t="s">
        <v>0</v>
      </c>
    </row>
    <row r="14">
      <c r="A14" s="41" t="s">
        <v>105</v>
      </c>
    </row>
    <row r="15">
      <c r="A15" s="41" t="s">
        <v>106</v>
      </c>
    </row>
    <row r="16">
      <c r="A16" s="41" t="s">
        <v>107</v>
      </c>
    </row>
    <row r="17">
      <c r="A17" s="41" t="s">
        <v>104</v>
      </c>
    </row>
    <row r="18">
      <c r="A18" s="41" t="s">
        <v>152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display="3D Distributed" location="3D Distributed!A1" ref="A13"/>
    <hyperlink display="Workhorse 3D Printer" location="Workhorse 3D Printer!A1" ref="A14"/>
    <hyperlink display="CAD Files" location="3D Models!A1" ref="A15"/>
    <hyperlink display="Github" location="Github!A1" ref="A16"/>
    <hyperlink r:id="rId19" ref="A17"/>
    <hyperlink r:id="rId20" ref="A18"/>
  </hyperlinks>
  <drawing r:id="rId2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5.29"/>
  </cols>
  <sheetData>
    <row r="1" ht="26.25" customHeight="1">
      <c r="A1" s="62" t="s">
        <v>153</v>
      </c>
    </row>
    <row r="2" ht="130.5" customHeight="1">
      <c r="A2" s="63"/>
    </row>
    <row r="3">
      <c r="A3" s="41" t="s">
        <v>154</v>
      </c>
    </row>
    <row r="4">
      <c r="A4" s="54" t="s">
        <v>155</v>
      </c>
    </row>
    <row r="5">
      <c r="A5" s="54" t="s">
        <v>156</v>
      </c>
    </row>
    <row r="6">
      <c r="A6" s="54" t="s">
        <v>157</v>
      </c>
    </row>
  </sheetData>
  <hyperlinks>
    <hyperlink r:id="rId1" ref="A3"/>
    <hyperlink r:id="rId2" ref="A4"/>
    <hyperlink r:id="rId3" ref="A5"/>
    <hyperlink r:id="rId4" ref="A6"/>
  </hyperlinks>
  <drawing r:id="rId5"/>
</worksheet>
</file>