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horse XL" sheetId="1" r:id="rId5"/>
    <sheet state="visible" name="3D Distributed" sheetId="2" r:id="rId6"/>
    <sheet state="visible" name="Github" sheetId="3" r:id="rId7"/>
    <sheet state="visible" name="CAD Files" sheetId="4" r:id="rId8"/>
  </sheets>
  <definedNames/>
  <calcPr/>
</workbook>
</file>

<file path=xl/sharedStrings.xml><?xml version="1.0" encoding="utf-8"?>
<sst xmlns="http://schemas.openxmlformats.org/spreadsheetml/2006/main" count="235" uniqueCount="153">
  <si>
    <t>WorkHorse XL BOM</t>
  </si>
  <si>
    <t>Electonics</t>
  </si>
  <si>
    <t>Units</t>
  </si>
  <si>
    <t>Description</t>
  </si>
  <si>
    <t>Source</t>
  </si>
  <si>
    <t>Part #</t>
  </si>
  <si>
    <t>Unit $</t>
  </si>
  <si>
    <t>Total $</t>
  </si>
  <si>
    <t>Nema 17 Stepper Motor (Extruder)</t>
  </si>
  <si>
    <t>84 ozin</t>
  </si>
  <si>
    <t>ZylTech</t>
  </si>
  <si>
    <t>MO-N17-48-22B</t>
  </si>
  <si>
    <t>NEMA 23 269oz/in Stepper Motor</t>
  </si>
  <si>
    <t>269 ozin</t>
  </si>
  <si>
    <t>MO-N23-76-21B</t>
  </si>
  <si>
    <t>Duet 3 Mainboard 6HC</t>
  </si>
  <si>
    <t>Printed Solid</t>
  </si>
  <si>
    <t>Lead Screw</t>
  </si>
  <si>
    <t>Part Number</t>
  </si>
  <si>
    <t>Discription</t>
  </si>
  <si>
    <t>$ each</t>
  </si>
  <si>
    <t>Igus 790mm Long (X Axis)</t>
  </si>
  <si>
    <t>DST-LS-10x50-R </t>
  </si>
  <si>
    <t>drylin® lead screw</t>
  </si>
  <si>
    <t>Igus 830mm Long (Y Axis)</t>
  </si>
  <si>
    <t>Lead Screw Nuts</t>
  </si>
  <si>
    <t>DST-JFRM0092525DS10x50</t>
  </si>
  <si>
    <t>dryspin® flange lead screw nut</t>
  </si>
  <si>
    <t>Total</t>
  </si>
  <si>
    <t>Linear Rails</t>
  </si>
  <si>
    <t>700mm Long w/1 Carriage Block(X &amp; Y Axis)</t>
  </si>
  <si>
    <t>3pcs</t>
  </si>
  <si>
    <t>MGN12H 20mm x 20mm Holes w/1 Carriage Block</t>
  </si>
  <si>
    <t>HW-MGN12-cut2-oneblock</t>
  </si>
  <si>
    <t>700mm Long X w/2 Carriage Block (Z-Axis)</t>
  </si>
  <si>
    <t>4pcs</t>
  </si>
  <si>
    <t>MGN12H 20mm x 20mm Holes w/2 Carriage Block</t>
  </si>
  <si>
    <t>HW-MGN12-cut2-twoblock</t>
  </si>
  <si>
    <r>
      <rPr>
        <rFont val="Calibri"/>
        <b/>
        <color rgb="FF000000"/>
        <sz val="12.0"/>
      </rPr>
      <t>Machined Hardware (</t>
    </r>
    <r>
      <rPr>
        <rFont val="Calibri"/>
        <b/>
        <color rgb="FF1155CC"/>
        <sz val="12.0"/>
        <u/>
      </rPr>
      <t>3D Distributed</t>
    </r>
    <r>
      <rPr>
        <rFont val="Calibri"/>
        <b/>
        <color rgb="FF000000"/>
        <sz val="12.0"/>
      </rPr>
      <t>)</t>
    </r>
  </si>
  <si>
    <t>Unit</t>
  </si>
  <si>
    <t>$ Each</t>
  </si>
  <si>
    <t>Gantry Plates</t>
  </si>
  <si>
    <t>2pcs</t>
  </si>
  <si>
    <t>3D Distributed</t>
  </si>
  <si>
    <t>X- Carriage</t>
  </si>
  <si>
    <t xml:space="preserve">Y-Carriage </t>
  </si>
  <si>
    <t>1pc</t>
  </si>
  <si>
    <t xml:space="preserve">Y-Axis Motor Mount </t>
  </si>
  <si>
    <t xml:space="preserve">Y-Axis Idler Mount </t>
  </si>
  <si>
    <t>Hotend Mount</t>
  </si>
  <si>
    <t>1pcs</t>
  </si>
  <si>
    <t xml:space="preserve">Z-Axis Motor Mounts </t>
  </si>
  <si>
    <t>Mic6 Build Plate 750mm x750mm</t>
  </si>
  <si>
    <t>Frame Extrusions</t>
  </si>
  <si>
    <t>Length</t>
  </si>
  <si>
    <t>$each</t>
  </si>
  <si>
    <t>$Total</t>
  </si>
  <si>
    <t>HFS5-2040</t>
  </si>
  <si>
    <t>16pcs</t>
  </si>
  <si>
    <t>Horizontals</t>
  </si>
  <si>
    <t>960mm Long</t>
  </si>
  <si>
    <t>HFS5-2040-960</t>
  </si>
  <si>
    <t>8pcs</t>
  </si>
  <si>
    <t>Verticals</t>
  </si>
  <si>
    <t>770mm Long</t>
  </si>
  <si>
    <t>HFS5-2040-770</t>
  </si>
  <si>
    <t>Gantry Extrusions</t>
  </si>
  <si>
    <t>Part#</t>
  </si>
  <si>
    <t>Gantry Horizontal Extrusions</t>
  </si>
  <si>
    <t>800mm Long</t>
  </si>
  <si>
    <t>HFS5-2040-800</t>
  </si>
  <si>
    <t>Frame Parts</t>
  </si>
  <si>
    <t>Type</t>
  </si>
  <si>
    <t>Frame Brackets</t>
  </si>
  <si>
    <t>32pcs</t>
  </si>
  <si>
    <t>20mm Wide Reversal Tabbed Brackets (20mm)</t>
  </si>
  <si>
    <t>HBLFSNF5</t>
  </si>
  <si>
    <t>20pcs</t>
  </si>
  <si>
    <t>40mm wide Reversal Tabbed Brackets</t>
  </si>
  <si>
    <t xml:space="preserve">HBLFSDW5 
</t>
  </si>
  <si>
    <t>T-Nuts (Misumi)</t>
  </si>
  <si>
    <t>M4</t>
  </si>
  <si>
    <t xml:space="preserve">HNKK5-4 </t>
  </si>
  <si>
    <t>200pcs</t>
  </si>
  <si>
    <t>M5</t>
  </si>
  <si>
    <t>HNKK5-5</t>
  </si>
  <si>
    <t>M3</t>
  </si>
  <si>
    <t>HNKK5-3</t>
  </si>
  <si>
    <t>M5 x 10 Cap Screw</t>
  </si>
  <si>
    <t>M5 x 10mm Cap Screw (Frame)</t>
  </si>
  <si>
    <t>M5 x 16 Cap Screw</t>
  </si>
  <si>
    <t>M5 x 16mm Cap Screw (Gantry)</t>
  </si>
  <si>
    <t>M5 x 30 Cap Screw</t>
  </si>
  <si>
    <t>M5 x 30mm Cap Screw (Gantry to Z - Lead screw)</t>
  </si>
  <si>
    <t>M5 x 55 Cap Screw</t>
  </si>
  <si>
    <t>M5 x 55mm Cap Screw (C-Carriage)</t>
  </si>
  <si>
    <t>M3 x 9 Cap Screw</t>
  </si>
  <si>
    <t>M3 x 9mm Cap Screw (for linear rail)</t>
  </si>
  <si>
    <t>M3 x 35 Cap Screw</t>
  </si>
  <si>
    <t>M3 x 35mm Cap Screw (C-Carriage Insert)</t>
  </si>
  <si>
    <t>Frame Price</t>
  </si>
  <si>
    <t>Price $</t>
  </si>
  <si>
    <t>Profile Extrusions</t>
  </si>
  <si>
    <t xml:space="preserve">M5 x 10 Cap Screws </t>
  </si>
  <si>
    <t>brackets</t>
  </si>
  <si>
    <t>T-nuts M5</t>
  </si>
  <si>
    <t>Without Frame</t>
  </si>
  <si>
    <t>DIY 3D Printers</t>
  </si>
  <si>
    <t>Nema Motor Mounts</t>
  </si>
  <si>
    <t>3D Printer Parts</t>
  </si>
  <si>
    <t>WorkHorse Printer</t>
  </si>
  <si>
    <t>3D Printer Kits</t>
  </si>
  <si>
    <t>SolidCore</t>
  </si>
  <si>
    <t>Large Scale 3D Printers</t>
  </si>
  <si>
    <t>Duet3D</t>
  </si>
  <si>
    <t>CoreXY</t>
  </si>
  <si>
    <t>Duet Wifi Setup</t>
  </si>
  <si>
    <t>Midwest RepRap Festival</t>
  </si>
  <si>
    <t>Media</t>
  </si>
  <si>
    <t>12601 Bowles Rd. Conroe, TX 77304</t>
  </si>
  <si>
    <t>Houston</t>
  </si>
  <si>
    <t>All Metal 3D Printer Parts</t>
  </si>
  <si>
    <t xml:space="preserve">3D Distributed Media </t>
  </si>
  <si>
    <t>Github</t>
  </si>
  <si>
    <t>Workhorse 3D Printer</t>
  </si>
  <si>
    <t>https://github.com/ShaneHooper/WorkHorse3DPrinter</t>
  </si>
  <si>
    <t>Shane Hooper</t>
  </si>
  <si>
    <t>https://github.com/ShaneHooper</t>
  </si>
  <si>
    <t>Github Wiki</t>
  </si>
  <si>
    <t>https://github.com/ShaneHooper/WorkHorse3DPrinter/wiki</t>
  </si>
  <si>
    <t>Workhorse 3D Printer Wiki</t>
  </si>
  <si>
    <t>https://github.com/ShaneHooper/WorkHorse3DPrinter/wiki/Workhorse-3D-Printer</t>
  </si>
  <si>
    <t>Lead Screw Motion</t>
  </si>
  <si>
    <t>https://github.com/ShaneHooper/WorkHorse3DPrinter/wiki/Workhorse-3D-Printer#lead-screw-motion-system</t>
  </si>
  <si>
    <t>Download Workhorse 3D Printer Files</t>
  </si>
  <si>
    <t>Hackster.io</t>
  </si>
  <si>
    <t>https://www.hackster.io/ShaneHooper/large-diy-3d-printer-with-all-lead-screw-0add9b</t>
  </si>
  <si>
    <t>Hackaday</t>
  </si>
  <si>
    <t>https://hackaday.io/project/177793-large-diy-3d-printer-with-all-lead-screw</t>
  </si>
  <si>
    <t>Thingiverse</t>
  </si>
  <si>
    <t>https://www.thingiverse.com/thing:2764064</t>
  </si>
  <si>
    <t>OpenBuilds</t>
  </si>
  <si>
    <t>https://openbuilds.com/builds/workhorse-3d-printer.8576/</t>
  </si>
  <si>
    <t>Autodesk</t>
  </si>
  <si>
    <t>https://gallery.autodesk.com/projects/159034/workhorse-3d-printer---large-format-diy-3d-printer-with-all-lead-screw---fixed-bed---moving-gantry</t>
  </si>
  <si>
    <t>MyMiniFactory</t>
  </si>
  <si>
    <t>https://www.myminifactory.com/object/3d-print-workhorse-3d-printer-large-scale-xyz-lead-screw-moving-gantry-fixed-bed-160639</t>
  </si>
  <si>
    <t>GrabCad</t>
  </si>
  <si>
    <t>https://grabcad.com/library/workhorse-3d-printer-large-diy-3d-printer-with-xyz-axis-lead-screw-fixed-bed-moving-gantry-1</t>
  </si>
  <si>
    <t>WikiFactory</t>
  </si>
  <si>
    <t>https://wikifactory.com/@shanehooper/workhorse-3d-printer</t>
  </si>
  <si>
    <t>Thangs</t>
  </si>
  <si>
    <t>https://thangs.com/3ddistributed/Workhorse-3D-Printer-12565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</si>
</sst>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31">
    <font>
      <sz val="10.0"/>
      <color rgb="FF000000"/>
      <name val="Arial"/>
      <scheme val="minor"/>
    </font>
    <font>
      <b/>
      <sz val="24.0"/>
      <color rgb="FF000000"/>
      <name val="Impact"/>
    </font>
    <font>
      <b/>
      <sz val="11.0"/>
      <color rgb="FF000000"/>
      <name val="Calibri"/>
    </font>
    <font>
      <color rgb="FF000000"/>
      <name val="Arial"/>
      <scheme val="minor"/>
    </font>
    <font>
      <b/>
      <sz val="12.0"/>
      <color rgb="FF000000"/>
      <name val="Calibri"/>
    </font>
    <font>
      <u/>
      <sz val="11.0"/>
      <color rgb="FF1155CC"/>
      <name val="Calibri"/>
    </font>
    <font>
      <sz val="11.0"/>
      <color rgb="FF000000"/>
      <name val="Calibri"/>
    </font>
    <font>
      <u/>
      <sz val="11.0"/>
      <color rgb="FF1155CC"/>
      <name val="Calibri"/>
    </font>
    <font>
      <b/>
      <sz val="12.0"/>
      <color rgb="FF000000"/>
      <name val="Arial"/>
      <scheme val="minor"/>
    </font>
    <font>
      <u/>
      <sz val="11.0"/>
      <color rgb="FF1155CC"/>
      <name val="Calibri"/>
    </font>
    <font>
      <u/>
      <sz val="11.0"/>
      <color rgb="FF000000"/>
      <name val="Calibri"/>
    </font>
    <font>
      <sz val="9.0"/>
      <color rgb="FF000000"/>
      <name val="Arial"/>
    </font>
    <font>
      <b/>
      <u/>
      <sz val="12.0"/>
      <color rgb="FF1155CC"/>
      <name val="Calibri"/>
    </font>
    <font>
      <b/>
      <u/>
      <sz val="12.0"/>
      <color rgb="FF000000"/>
      <name val="Calibri"/>
    </font>
    <font>
      <color rgb="FF000000"/>
      <name val="Calibri"/>
    </font>
    <font>
      <u/>
      <sz val="28.0"/>
      <color rgb="FF1155CC"/>
      <name val="Impact"/>
    </font>
    <font>
      <sz val="11.0"/>
      <color theme="1"/>
      <name val="Calibri"/>
    </font>
    <font>
      <b/>
      <u/>
      <sz val="14.0"/>
      <color rgb="FF1155CC"/>
      <name val="Arial"/>
    </font>
    <font>
      <u/>
      <sz val="11.0"/>
      <color rgb="FF1155CC"/>
      <name val="Arial"/>
    </font>
    <font>
      <u/>
      <sz val="24.0"/>
      <color rgb="FF1155CC"/>
      <name val="Impact"/>
    </font>
    <font>
      <u/>
      <sz val="24.0"/>
      <color rgb="FF1155CC"/>
      <name val="Impact"/>
    </font>
    <font>
      <u/>
      <sz val="11.0"/>
      <color rgb="FF1155CC"/>
      <name val="Arial"/>
    </font>
    <font>
      <sz val="36.0"/>
      <color theme="1"/>
      <name val="Impact"/>
    </font>
    <font>
      <u/>
      <sz val="11.0"/>
      <color rgb="FF1155CC"/>
      <name val="Calibri"/>
    </font>
    <font>
      <u/>
      <sz val="11.0"/>
      <color rgb="FF0000FF"/>
      <name val="Calibri"/>
    </font>
    <font>
      <b/>
      <sz val="18.0"/>
      <color theme="1"/>
      <name val="Impact"/>
    </font>
    <font>
      <b/>
      <u/>
      <sz val="11.0"/>
      <color rgb="FF1155CC"/>
      <name val="Calibri"/>
    </font>
    <font>
      <u/>
      <sz val="11.0"/>
      <color rgb="FF1155CC"/>
      <name val="Calibri"/>
    </font>
    <font>
      <b/>
      <u/>
      <sz val="11.0"/>
      <color rgb="FF1155CC"/>
      <name val="Calibri"/>
    </font>
    <font>
      <u/>
      <sz val="12.0"/>
      <color rgb="FF1155CC"/>
      <name val="&quot;Times New Roman&quot;"/>
    </font>
    <font>
      <u/>
      <sz val="11.0"/>
      <color rgb="FF1155CC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bottom"/>
    </xf>
    <xf borderId="0" fillId="3" fontId="2" numFmtId="0" xfId="0" applyAlignment="1" applyFill="1" applyFont="1">
      <alignment horizontal="left" readingOrder="0" vertical="bottom"/>
    </xf>
    <xf borderId="0" fillId="3" fontId="2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1" fillId="2" fontId="4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6" numFmtId="164" xfId="0" applyAlignment="1" applyBorder="1" applyFont="1" applyNumberFormat="1">
      <alignment horizontal="left" readingOrder="0" vertical="bottom"/>
    </xf>
    <xf borderId="0" fillId="3" fontId="7" numFmtId="0" xfId="0" applyAlignment="1" applyFont="1">
      <alignment readingOrder="0"/>
    </xf>
    <xf borderId="1" fillId="0" fontId="6" numFmtId="0" xfId="0" applyAlignment="1" applyBorder="1" applyFont="1">
      <alignment horizontal="left" vertical="bottom"/>
    </xf>
    <xf borderId="1" fillId="0" fontId="6" numFmtId="164" xfId="0" applyAlignment="1" applyBorder="1" applyFont="1" applyNumberFormat="1">
      <alignment horizontal="left" vertical="bottom"/>
    </xf>
    <xf borderId="0" fillId="0" fontId="6" numFmtId="0" xfId="0" applyAlignment="1" applyFont="1">
      <alignment horizontal="left" vertical="bottom"/>
    </xf>
    <xf borderId="1" fillId="3" fontId="3" numFmtId="164" xfId="0" applyAlignment="1" applyBorder="1" applyFont="1" applyNumberFormat="1">
      <alignment horizontal="left"/>
    </xf>
    <xf borderId="2" fillId="0" fontId="6" numFmtId="0" xfId="0" applyAlignment="1" applyBorder="1" applyFont="1">
      <alignment horizontal="left" vertical="bottom"/>
    </xf>
    <xf borderId="1" fillId="2" fontId="4" numFmtId="0" xfId="0" applyAlignment="1" applyBorder="1" applyFont="1">
      <alignment horizontal="left" readingOrder="0" vertical="bottom"/>
    </xf>
    <xf borderId="1" fillId="2" fontId="8" numFmtId="164" xfId="0" applyAlignment="1" applyBorder="1" applyFont="1" applyNumberFormat="1">
      <alignment horizontal="left" readingOrder="0"/>
    </xf>
    <xf borderId="1" fillId="0" fontId="6" numFmtId="3" xfId="0" applyAlignment="1" applyBorder="1" applyFont="1" applyNumberFormat="1">
      <alignment horizontal="left" vertical="bottom"/>
    </xf>
    <xf borderId="0" fillId="3" fontId="9" numFmtId="0" xfId="0" applyAlignment="1" applyFont="1">
      <alignment readingOrder="0" shrinkToFit="0" wrapText="1"/>
    </xf>
    <xf borderId="1" fillId="3" fontId="10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shrinkToFit="0" vertical="bottom" wrapText="0"/>
    </xf>
    <xf borderId="1" fillId="0" fontId="6" numFmtId="164" xfId="0" applyAlignment="1" applyBorder="1" applyFont="1" applyNumberFormat="1">
      <alignment horizontal="left" shrinkToFit="0" vertical="bottom" wrapText="0"/>
    </xf>
    <xf borderId="1" fillId="0" fontId="11" numFmtId="0" xfId="0" applyAlignment="1" applyBorder="1" applyFont="1">
      <alignment horizontal="left" vertical="bottom"/>
    </xf>
    <xf borderId="1" fillId="0" fontId="11" numFmtId="164" xfId="0" applyAlignment="1" applyBorder="1" applyFont="1" applyNumberFormat="1">
      <alignment horizontal="left" vertical="bottom"/>
    </xf>
    <xf borderId="1" fillId="0" fontId="4" numFmtId="0" xfId="0" applyAlignment="1" applyBorder="1" applyFont="1">
      <alignment horizontal="left" readingOrder="0" vertical="bottom"/>
    </xf>
    <xf borderId="1" fillId="0" fontId="6" numFmtId="165" xfId="0" applyAlignment="1" applyBorder="1" applyFont="1" applyNumberFormat="1">
      <alignment horizontal="left" vertical="bottom"/>
    </xf>
    <xf borderId="1" fillId="3" fontId="6" numFmtId="164" xfId="0" applyAlignment="1" applyBorder="1" applyFont="1" applyNumberFormat="1">
      <alignment horizontal="left" vertical="bottom"/>
    </xf>
    <xf borderId="1" fillId="2" fontId="12" numFmtId="0" xfId="0" applyAlignment="1" applyBorder="1" applyFont="1">
      <alignment horizontal="left" readingOrder="0" vertical="bottom"/>
    </xf>
    <xf borderId="1" fillId="0" fontId="6" numFmtId="4" xfId="0" applyAlignment="1" applyBorder="1" applyFont="1" applyNumberFormat="1">
      <alignment horizontal="left" vertical="bottom"/>
    </xf>
    <xf borderId="1" fillId="0" fontId="3" numFmtId="164" xfId="0" applyAlignment="1" applyBorder="1" applyFont="1" applyNumberFormat="1">
      <alignment horizontal="left"/>
    </xf>
    <xf borderId="1" fillId="0" fontId="4" numFmtId="0" xfId="0" applyAlignment="1" applyBorder="1" applyFont="1">
      <alignment horizontal="left" vertical="bottom"/>
    </xf>
    <xf borderId="0" fillId="0" fontId="6" numFmtId="165" xfId="0" applyAlignment="1" applyFont="1" applyNumberFormat="1">
      <alignment horizontal="left" vertical="bottom"/>
    </xf>
    <xf borderId="1" fillId="2" fontId="13" numFmtId="0" xfId="0" applyAlignment="1" applyBorder="1" applyFont="1">
      <alignment horizontal="left" readingOrder="0" vertical="bottom"/>
    </xf>
    <xf borderId="1" fillId="0" fontId="6" numFmtId="165" xfId="0" applyAlignment="1" applyBorder="1" applyFont="1" applyNumberFormat="1">
      <alignment horizontal="left" readingOrder="0" vertical="bottom"/>
    </xf>
    <xf borderId="1" fillId="2" fontId="4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shrinkToFit="0" vertical="bottom" wrapText="1"/>
    </xf>
    <xf borderId="1" fillId="0" fontId="14" numFmtId="0" xfId="0" applyAlignment="1" applyBorder="1" applyFont="1">
      <alignment horizontal="left"/>
    </xf>
    <xf borderId="1" fillId="0" fontId="6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horizontal="left" readingOrder="0"/>
    </xf>
    <xf borderId="0" fillId="4" fontId="15" numFmtId="0" xfId="0" applyAlignment="1" applyFill="1" applyFont="1">
      <alignment vertical="bottom"/>
    </xf>
    <xf borderId="3" fillId="4" fontId="16" numFmtId="0" xfId="0" applyAlignment="1" applyBorder="1" applyFont="1">
      <alignment vertical="bottom"/>
    </xf>
    <xf borderId="3" fillId="4" fontId="17" numFmtId="0" xfId="0" applyAlignment="1" applyBorder="1" applyFont="1">
      <alignment vertical="bottom"/>
    </xf>
    <xf borderId="3" fillId="0" fontId="18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3" fillId="4" fontId="19" numFmtId="0" xfId="0" applyAlignment="1" applyBorder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4" fillId="0" fontId="25" numFmtId="0" xfId="0" applyAlignment="1" applyBorder="1" applyFont="1">
      <alignment vertical="bottom"/>
    </xf>
    <xf borderId="5" fillId="0" fontId="16" numFmtId="0" xfId="0" applyAlignment="1" applyBorder="1" applyFont="1">
      <alignment vertical="bottom"/>
    </xf>
    <xf borderId="6" fillId="0" fontId="26" numFmtId="0" xfId="0" applyAlignment="1" applyBorder="1" applyFont="1">
      <alignment vertical="bottom"/>
    </xf>
    <xf borderId="7" fillId="0" fontId="27" numFmtId="0" xfId="0" applyAlignment="1" applyBorder="1" applyFont="1">
      <alignment vertical="bottom"/>
    </xf>
    <xf borderId="8" fillId="0" fontId="28" numFmtId="0" xfId="0" applyAlignment="1" applyBorder="1" applyFont="1">
      <alignment vertical="bottom"/>
    </xf>
    <xf borderId="9" fillId="0" fontId="29" numFmtId="0" xfId="0" applyAlignment="1" applyBorder="1" applyFont="1">
      <alignment vertical="bottom"/>
    </xf>
    <xf borderId="9" fillId="0" fontId="30" numFmtId="0" xfId="0" applyAlignment="1" applyBorder="1" applyFont="1">
      <alignment vertical="bottom"/>
    </xf>
    <xf borderId="10" fillId="0" fontId="16" numFmtId="0" xfId="0" applyAlignment="1" applyBorder="1" applyFont="1">
      <alignment vertical="bottom"/>
    </xf>
    <xf borderId="11" fillId="0" fontId="16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e/2PACX-1vTcGsZjeGlrWRxWD2stX6CHN0n7UWIKrGLeGPrwzrY44VxEAaGJxkfkdVrVUF-vaKbIhPDTWi9DTFfG/pub" TargetMode="External"/><Relationship Id="rId20" Type="http://schemas.openxmlformats.org/officeDocument/2006/relationships/hyperlink" Target="https://docs.google.com/document/d/1zGdifNBKjFR1vIV_wQlnzeo_nN2lgHoS-yEsJkQ0uXg/edit?usp=sharing" TargetMode="External"/><Relationship Id="rId42" Type="http://schemas.openxmlformats.org/officeDocument/2006/relationships/hyperlink" Target="https://drive.google.com/drive/folders/12WbGqIksCw0IdaWBLvjc11IELuzCqfxE?usp=sharing" TargetMode="External"/><Relationship Id="rId41" Type="http://schemas.openxmlformats.org/officeDocument/2006/relationships/hyperlink" Target="https://sites.google.com/view/3d-distributed" TargetMode="External"/><Relationship Id="rId22" Type="http://schemas.openxmlformats.org/officeDocument/2006/relationships/hyperlink" Target="https://docs.google.com/document/d/1zGdifNBKjFR1vIV_wQlnzeo_nN2lgHoS-yEsJkQ0uXg/edit?usp=sharing" TargetMode="External"/><Relationship Id="rId44" Type="http://schemas.openxmlformats.org/officeDocument/2006/relationships/hyperlink" Target="https://docs.google.com/document/d/11l-3uNonx_ORs6nRXxofR3ey-8DSHwf5zI4f2QxJN4M/edit?usp=sharing" TargetMode="External"/><Relationship Id="rId21" Type="http://schemas.openxmlformats.org/officeDocument/2006/relationships/hyperlink" Target="https://docs.google.com/document/d/1zGdifNBKjFR1vIV_wQlnzeo_nN2lgHoS-yEsJkQ0uXg/edit?usp=sharing" TargetMode="External"/><Relationship Id="rId43" Type="http://schemas.openxmlformats.org/officeDocument/2006/relationships/hyperlink" Target="https://sites.google.com/view/3d-distributed" TargetMode="External"/><Relationship Id="rId24" Type="http://schemas.openxmlformats.org/officeDocument/2006/relationships/hyperlink" Target="https://www.zyltech.com/zyltech-mgn12-h-type-linear-rail-with-single-or-double-carriage-block/" TargetMode="External"/><Relationship Id="rId46" Type="http://schemas.openxmlformats.org/officeDocument/2006/relationships/hyperlink" Target="https://docs.google.com/document/d/11l-3uNonx_ORs6nRXxofR3ey-8DSHwf5zI4f2QxJN4M/edit?usp=sharing" TargetMode="External"/><Relationship Id="rId23" Type="http://schemas.openxmlformats.org/officeDocument/2006/relationships/hyperlink" Target="https://www.zyltech.com/zyltech-mgn12-h-type-linear-rail-with-single-or-double-carriage-block/" TargetMode="External"/><Relationship Id="rId45" Type="http://schemas.openxmlformats.org/officeDocument/2006/relationships/hyperlink" Target="https://docs.google.com/document/d/1P13NDFLO7bvHLXG8ZyNuaJweWA9nSh1L8fKQrmHPHjY/edit?usp=sharing" TargetMode="External"/><Relationship Id="rId1" Type="http://schemas.openxmlformats.org/officeDocument/2006/relationships/hyperlink" Target="https://docs.google.com/document/d/13YULbW4it4HeZbJ5p1w9EwHypL72n1tixZTFhqVGD0E/edit?usp=sharing" TargetMode="External"/><Relationship Id="rId2" Type="http://schemas.openxmlformats.org/officeDocument/2006/relationships/hyperlink" Target="https://docs.google.com/document/d/13YULbW4it4HeZbJ5p1w9EwHypL72n1tixZTFhqVGD0E/edit?usp=sharing" TargetMode="External"/><Relationship Id="rId3" Type="http://schemas.openxmlformats.org/officeDocument/2006/relationships/hyperlink" Target="https://docs.google.com/document/d/1NkMvuQxaNUFZQew2Gc1-TtsQKOyFOVbQ3Jt-M6NneDo/edit?usp=sharing" TargetMode="External"/><Relationship Id="rId4" Type="http://schemas.openxmlformats.org/officeDocument/2006/relationships/hyperlink" Target="https://www.zyltech.com/nema-17-stepper-motor-1-7-a-0-59-nm-84-ozin-1-3-or-5-pack/" TargetMode="External"/><Relationship Id="rId9" Type="http://schemas.openxmlformats.org/officeDocument/2006/relationships/hyperlink" Target="https://www.duet3d.com/Duet3Mainboard6HC" TargetMode="External"/><Relationship Id="rId26" Type="http://schemas.openxmlformats.org/officeDocument/2006/relationships/hyperlink" Target="https://docs.google.com/document/d/1zGdifNBKjFR1vIV_wQlnzeo_nN2lgHoS-yEsJkQ0uXg/edit?usp=sharing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docs.google.com/document/d/1zGdifNBKjFR1vIV_wQlnzeo_nN2lgHoS-yEsJkQ0uXg/edit?usp=sharing" TargetMode="External"/><Relationship Id="rId47" Type="http://schemas.openxmlformats.org/officeDocument/2006/relationships/hyperlink" Target="https://docs.google.com/document/d/11l-3uNonx_ORs6nRXxofR3ey-8DSHwf5zI4f2QxJN4M/edit?usp=sharing" TargetMode="External"/><Relationship Id="rId28" Type="http://schemas.openxmlformats.org/officeDocument/2006/relationships/hyperlink" Target="https://www.zyltech.com/zyltech-mgn12-h-type-linear-rail-with-single-or-double-carriage-block/" TargetMode="External"/><Relationship Id="rId27" Type="http://schemas.openxmlformats.org/officeDocument/2006/relationships/hyperlink" Target="https://www.zyltech.com/zyltech-mgn12-h-type-linear-rail-with-single-or-double-carriage-block/" TargetMode="External"/><Relationship Id="rId5" Type="http://schemas.openxmlformats.org/officeDocument/2006/relationships/hyperlink" Target="https://docs.google.com/document/d/1NkMvuQxaNUFZQew2Gc1-TtsQKOyFOVbQ3Jt-M6NneDo/edit?usp=sharing" TargetMode="External"/><Relationship Id="rId6" Type="http://schemas.openxmlformats.org/officeDocument/2006/relationships/hyperlink" Target="https://docs.google.com/document/d/1NkMvuQxaNUFZQew2Gc1-TtsQKOyFOVbQ3Jt-M6NneDo/edit?usp=sharing" TargetMode="External"/><Relationship Id="rId29" Type="http://schemas.openxmlformats.org/officeDocument/2006/relationships/hyperlink" Target="https://sites.google.com/view/3d-distributed" TargetMode="External"/><Relationship Id="rId7" Type="http://schemas.openxmlformats.org/officeDocument/2006/relationships/hyperlink" Target="https://docs.google.com/document/d/1NkMvuQxaNUFZQew2Gc1-TtsQKOyFOVbQ3Jt-M6NneDo/edit?usp=sharing" TargetMode="External"/><Relationship Id="rId8" Type="http://schemas.openxmlformats.org/officeDocument/2006/relationships/hyperlink" Target="https://www.zyltech.com/nema-23-stepper-motor-3-0-a-1-9-n-m-269-oz-in/" TargetMode="External"/><Relationship Id="rId31" Type="http://schemas.openxmlformats.org/officeDocument/2006/relationships/hyperlink" Target="https://sites.google.com/view/3d-distributed" TargetMode="External"/><Relationship Id="rId30" Type="http://schemas.openxmlformats.org/officeDocument/2006/relationships/hyperlink" Target="https://docs.google.com/document/d/1P13NDFLO7bvHLXG8ZyNuaJweWA9nSh1L8fKQrmHPHjY/edit?usp=sharing" TargetMode="External"/><Relationship Id="rId11" Type="http://schemas.openxmlformats.org/officeDocument/2006/relationships/hyperlink" Target="https://docs.google.com/document/d/1KlfmatUR9xLh5apDLJgf9mmEjynAkl-YotgW3cAVlcE/edit?usp=sharing" TargetMode="External"/><Relationship Id="rId33" Type="http://schemas.openxmlformats.org/officeDocument/2006/relationships/hyperlink" Target="https://sites.google.com/view/3d-distributed" TargetMode="External"/><Relationship Id="rId10" Type="http://schemas.openxmlformats.org/officeDocument/2006/relationships/hyperlink" Target="https://www.printedsolid.com/collections/duet/products/duet-3-mainboard-6hc?variant=31383441408085" TargetMode="External"/><Relationship Id="rId32" Type="http://schemas.openxmlformats.org/officeDocument/2006/relationships/hyperlink" Target="https://docs.google.com/document/d/1Vd2PdB_hXaFKPNdGxLS4YVAtObagg9VC6V_vWCoOSSA/edit?usp=sharing" TargetMode="External"/><Relationship Id="rId13" Type="http://schemas.openxmlformats.org/officeDocument/2006/relationships/hyperlink" Target="https://docs.google.com/document/d/1KlfmatUR9xLh5apDLJgf9mmEjynAkl-YotgW3cAVlcE/edit?usp=sharing" TargetMode="External"/><Relationship Id="rId35" Type="http://schemas.openxmlformats.org/officeDocument/2006/relationships/hyperlink" Target="https://sites.google.com/view/3d-distributed" TargetMode="External"/><Relationship Id="rId12" Type="http://schemas.openxmlformats.org/officeDocument/2006/relationships/hyperlink" Target="https://www.igus.com/product/?artnr=DST-LS-10X50-R-ES" TargetMode="External"/><Relationship Id="rId34" Type="http://schemas.openxmlformats.org/officeDocument/2006/relationships/hyperlink" Target="https://docs.google.com/document/d/1gNmFLYyJBsnfMEPnmF7bYRvxwQ0ndSOHjGc4H5dq03E/edit?usp=sharing" TargetMode="External"/><Relationship Id="rId15" Type="http://schemas.openxmlformats.org/officeDocument/2006/relationships/hyperlink" Target="https://www.igus.com/product/?artnr=DST-LS-10X50-R-ES" TargetMode="External"/><Relationship Id="rId37" Type="http://schemas.openxmlformats.org/officeDocument/2006/relationships/hyperlink" Target="https://sites.google.com/view/3d-distributed" TargetMode="External"/><Relationship Id="rId14" Type="http://schemas.openxmlformats.org/officeDocument/2006/relationships/hyperlink" Target="https://docs.google.com/document/d/1KlfmatUR9xLh5apDLJgf9mmEjynAkl-YotgW3cAVlcE/edit?usp=sharing" TargetMode="External"/><Relationship Id="rId36" Type="http://schemas.openxmlformats.org/officeDocument/2006/relationships/hyperlink" Target="https://docs.google.com/document/d/1gNmFLYyJBsnfMEPnmF7bYRvxwQ0ndSOHjGc4H5dq03E/edit?usp=sharing" TargetMode="External"/><Relationship Id="rId17" Type="http://schemas.openxmlformats.org/officeDocument/2006/relationships/hyperlink" Target="https://docs.google.com/document/d/1KlfmatUR9xLh5apDLJgf9mmEjynAkl-YotgW3cAVlcE/edit?usp=sharing" TargetMode="External"/><Relationship Id="rId39" Type="http://schemas.openxmlformats.org/officeDocument/2006/relationships/hyperlink" Target="https://sites.google.com/view/3d-distributed" TargetMode="External"/><Relationship Id="rId16" Type="http://schemas.openxmlformats.org/officeDocument/2006/relationships/hyperlink" Target="https://docs.google.com/document/d/1KlfmatUR9xLh5apDLJgf9mmEjynAkl-YotgW3cAVlcE/edit?usp=sharing" TargetMode="External"/><Relationship Id="rId38" Type="http://schemas.openxmlformats.org/officeDocument/2006/relationships/hyperlink" Target="https://docs.google.com/document/d/1gNmFLYyJBsnfMEPnmF7bYRvxwQ0ndSOHjGc4H5dq03E/edit?usp=sharing" TargetMode="External"/><Relationship Id="rId19" Type="http://schemas.openxmlformats.org/officeDocument/2006/relationships/hyperlink" Target="https://docs.google.com/document/d/1xy8Ez_JQ-0I9RqsgjeAJBHptBR66luPqHpzvsRninV8/edit?usp=sharing" TargetMode="External"/><Relationship Id="rId18" Type="http://schemas.openxmlformats.org/officeDocument/2006/relationships/hyperlink" Target="https://www.igus.com/product/?artnr=DST-LS-10X50-R-E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Z_93K5Q_JtBvKC2-QC_a9ZEusXI1YnX6?usp=sharing" TargetMode="External"/><Relationship Id="rId22" Type="http://schemas.openxmlformats.org/officeDocument/2006/relationships/hyperlink" Target="https://drive.google.com/drive/folders/1Z_93K5Q_JtBvKC2-QC_a9ZEusXI1YnX6?usp=sharing" TargetMode="External"/><Relationship Id="rId21" Type="http://schemas.openxmlformats.org/officeDocument/2006/relationships/hyperlink" Target="https://drive.google.com/drive/folders/1Z_93K5Q_JtBvKC2-QC_a9ZEusXI1YnX6?usp=sharing" TargetMode="External"/><Relationship Id="rId24" Type="http://schemas.openxmlformats.org/officeDocument/2006/relationships/hyperlink" Target="https://drive.google.com/drive/folders/1Z_93K5Q_JtBvKC2-QC_a9ZEusXI1YnX6?usp=sharing" TargetMode="External"/><Relationship Id="rId23" Type="http://schemas.openxmlformats.org/officeDocument/2006/relationships/hyperlink" Target="https://drive.google.com/drive/folders/1Z_93K5Q_JtBvKC2-QC_a9ZEusXI1YnX6?usp=sharing" TargetMode="External"/><Relationship Id="rId1" Type="http://schemas.openxmlformats.org/officeDocument/2006/relationships/hyperlink" Target="https://www.google.com/maps/d/edit?mid=10jLLy1vUyCoargxkagHS2LOEHkeZ2o0Y&amp;usp=sharing" TargetMode="External"/><Relationship Id="rId2" Type="http://schemas.openxmlformats.org/officeDocument/2006/relationships/hyperlink" Target="https://sites.google.com/view/3d-distributed/" TargetMode="External"/><Relationship Id="rId3" Type="http://schemas.openxmlformats.org/officeDocument/2006/relationships/hyperlink" Target="https://sites.google.com/view/3d-distributed/" TargetMode="External"/><Relationship Id="rId4" Type="http://schemas.openxmlformats.org/officeDocument/2006/relationships/hyperlink" Target="https://drive.google.com/drive/folders/1Z_93K5Q_JtBvKC2-QC_a9ZEusXI1YnX6?usp=sharing" TargetMode="External"/><Relationship Id="rId9" Type="http://schemas.openxmlformats.org/officeDocument/2006/relationships/hyperlink" Target="https://sites.google.com/view/3d-distributed/solidcore-corexy" TargetMode="External"/><Relationship Id="rId26" Type="http://schemas.openxmlformats.org/officeDocument/2006/relationships/hyperlink" Target="https://photos.app.goo.gl/FbSahjyj7VHVuVKp9" TargetMode="External"/><Relationship Id="rId25" Type="http://schemas.openxmlformats.org/officeDocument/2006/relationships/hyperlink" Target="https://drive.google.com/drive/folders/1Z_93K5Q_JtBvKC2-QC_a9ZEusXI1YnX6?usp=sharing" TargetMode="External"/><Relationship Id="rId28" Type="http://schemas.openxmlformats.org/officeDocument/2006/relationships/hyperlink" Target="https://docs.google.com/document/d/e/2PACX-1vRr8-XIHLVWC0t9ju5kdc52usx1GHYedtL-5gpre3rWuJaAkOL-v-FAsFiWSz7FxR9xokrBJQR43Wme/pub" TargetMode="External"/><Relationship Id="rId27" Type="http://schemas.openxmlformats.org/officeDocument/2006/relationships/hyperlink" Target="https://www.google.com/maps/d/edit?mid=10jLLy1vUyCoargxkagHS2LOEHkeZ2o0Y&amp;usp=sharing" TargetMode="External"/><Relationship Id="rId5" Type="http://schemas.openxmlformats.org/officeDocument/2006/relationships/hyperlink" Target="https://sites.google.com/view/3d-distributed/nema-motor-mounts" TargetMode="External"/><Relationship Id="rId6" Type="http://schemas.openxmlformats.org/officeDocument/2006/relationships/hyperlink" Target="https://drive.google.com/drive/folders/1Z_93K5Q_JtBvKC2-QC_a9ZEusXI1YnX6?usp=sharing" TargetMode="External"/><Relationship Id="rId29" Type="http://schemas.openxmlformats.org/officeDocument/2006/relationships/hyperlink" Target="https://sites.google.com/view/3d-distributed" TargetMode="External"/><Relationship Id="rId7" Type="http://schemas.openxmlformats.org/officeDocument/2006/relationships/hyperlink" Target="https://sites.google.com/view/3d-distributed/workhorse-3d-printer" TargetMode="External"/><Relationship Id="rId8" Type="http://schemas.openxmlformats.org/officeDocument/2006/relationships/hyperlink" Target="https://drive.google.com/drive/folders/1Z_93K5Q_JtBvKC2-QC_a9ZEusXI1YnX6?usp=sharing" TargetMode="External"/><Relationship Id="rId31" Type="http://schemas.openxmlformats.org/officeDocument/2006/relationships/hyperlink" Target="https://drive.google.com/drive/folders/1Z_93K5Q_JtBvKC2-QC_a9ZEusXI1YnX6?usp=sharing" TargetMode="External"/><Relationship Id="rId30" Type="http://schemas.openxmlformats.org/officeDocument/2006/relationships/hyperlink" Target="https://drive.google.com/drive/folders/1Z_93K5Q_JtBvKC2-QC_a9ZEusXI1YnX6?usp=sharing" TargetMode="External"/><Relationship Id="rId11" Type="http://schemas.openxmlformats.org/officeDocument/2006/relationships/hyperlink" Target="https://sites.google.com/view/3d-distributed/duet3d" TargetMode="External"/><Relationship Id="rId33" Type="http://schemas.openxmlformats.org/officeDocument/2006/relationships/hyperlink" Target="https://drive.google.com/drive/folders/1Z_93K5Q_JtBvKC2-QC_a9ZEusXI1YnX6?usp=sharing" TargetMode="External"/><Relationship Id="rId10" Type="http://schemas.openxmlformats.org/officeDocument/2006/relationships/hyperlink" Target="https://drive.google.com/drive/folders/1Z_93K5Q_JtBvKC2-QC_a9ZEusXI1YnX6?usp=sharing" TargetMode="External"/><Relationship Id="rId32" Type="http://schemas.openxmlformats.org/officeDocument/2006/relationships/hyperlink" Target="https://drive.google.com/drive/folders/1Z_93K5Q_JtBvKC2-QC_a9ZEusXI1YnX6?usp=sharing" TargetMode="External"/><Relationship Id="rId13" Type="http://schemas.openxmlformats.org/officeDocument/2006/relationships/hyperlink" Target="https://sites.google.com/view/3d-distributed/duet3d/duet-wifi-setup" TargetMode="External"/><Relationship Id="rId35" Type="http://schemas.openxmlformats.org/officeDocument/2006/relationships/hyperlink" Target="https://drive.google.com/drive/folders/1Z_93K5Q_JtBvKC2-QC_a9ZEusXI1YnX6?usp=sharing" TargetMode="External"/><Relationship Id="rId12" Type="http://schemas.openxmlformats.org/officeDocument/2006/relationships/hyperlink" Target="https://drive.google.com/drive/folders/1Z_93K5Q_JtBvKC2-QC_a9ZEusXI1YnX6?usp=sharing" TargetMode="External"/><Relationship Id="rId34" Type="http://schemas.openxmlformats.org/officeDocument/2006/relationships/hyperlink" Target="https://drive.google.com/drive/folders/1Z_93K5Q_JtBvKC2-QC_a9ZEusXI1YnX6?usp=sharing" TargetMode="External"/><Relationship Id="rId15" Type="http://schemas.openxmlformats.org/officeDocument/2006/relationships/hyperlink" Target="https://docs.google.com/document/d/e/2PACX-1vRr8-XIHLVWC0t9ju5kdc52usx1GHYedtL-5gpre3rWuJaAkOL-v-FAsFiWSz7FxR9xokrBJQR43Wme/pub" TargetMode="External"/><Relationship Id="rId37" Type="http://schemas.openxmlformats.org/officeDocument/2006/relationships/hyperlink" Target="https://www.google.com/maps/d/edit?mid=10jLLy1vUyCoargxkagHS2LOEHkeZ2o0Y&amp;usp=sharing" TargetMode="External"/><Relationship Id="rId14" Type="http://schemas.openxmlformats.org/officeDocument/2006/relationships/hyperlink" Target="https://drive.google.com/drive/folders/1Z_93K5Q_JtBvKC2-QC_a9ZEusXI1YnX6?usp=sharing" TargetMode="External"/><Relationship Id="rId36" Type="http://schemas.openxmlformats.org/officeDocument/2006/relationships/hyperlink" Target="https://photos.app.goo.gl/FbSahjyj7VHVuVKp9" TargetMode="External"/><Relationship Id="rId17" Type="http://schemas.openxmlformats.org/officeDocument/2006/relationships/hyperlink" Target="https://sites.google.com/view/3d-distributed/houston" TargetMode="External"/><Relationship Id="rId39" Type="http://schemas.openxmlformats.org/officeDocument/2006/relationships/drawing" Target="../drawings/drawing2.xml"/><Relationship Id="rId16" Type="http://schemas.openxmlformats.org/officeDocument/2006/relationships/hyperlink" Target="https://docs.google.com/spreadsheets/d/e/2PACX-1vRlWl89NaIsN4qn5FQPOHrKMhMopndtbfUMbZJ1GoZ8XxzzsjvwEAVviJqZkP1aZSycKZomW6uqMApW/pubhtml" TargetMode="External"/><Relationship Id="rId38" Type="http://schemas.openxmlformats.org/officeDocument/2006/relationships/hyperlink" Target="https://docs.google.com/document/d/e/2PACX-1vRr8-XIHLVWC0t9ju5kdc52usx1GHYedtL-5gpre3rWuJaAkOL-v-FAsFiWSz7FxR9xokrBJQR43Wme/pub" TargetMode="External"/><Relationship Id="rId19" Type="http://schemas.openxmlformats.org/officeDocument/2006/relationships/hyperlink" Target="https://sites.google.com/view/3d-distributed" TargetMode="External"/><Relationship Id="rId18" Type="http://schemas.openxmlformats.org/officeDocument/2006/relationships/hyperlink" Target="https://sites.google.com/view/3d-distributed/houston/corexy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haneHooper/WorkHorse3DPrinter" TargetMode="External"/><Relationship Id="rId2" Type="http://schemas.openxmlformats.org/officeDocument/2006/relationships/hyperlink" Target="https://github.com/ShaneHooper/WorkHorse3DPrinter" TargetMode="External"/><Relationship Id="rId3" Type="http://schemas.openxmlformats.org/officeDocument/2006/relationships/hyperlink" Target="https://github.com/ShaneHooper" TargetMode="External"/><Relationship Id="rId4" Type="http://schemas.openxmlformats.org/officeDocument/2006/relationships/hyperlink" Target="https://github.com/ShaneHooper" TargetMode="External"/><Relationship Id="rId9" Type="http://schemas.openxmlformats.org/officeDocument/2006/relationships/hyperlink" Target="https://github.com/ShaneHooper/WorkHorse3DPrinter/wiki/Workhorse-3D-Printer" TargetMode="External"/><Relationship Id="rId5" Type="http://schemas.openxmlformats.org/officeDocument/2006/relationships/hyperlink" Target="https://github.com/ShaneHooper/WorkHorse3DPrinter/wiki" TargetMode="External"/><Relationship Id="rId6" Type="http://schemas.openxmlformats.org/officeDocument/2006/relationships/hyperlink" Target="https://github.com/ShaneHooper/WorkHorse3DPrinter/wiki" TargetMode="External"/><Relationship Id="rId7" Type="http://schemas.openxmlformats.org/officeDocument/2006/relationships/hyperlink" Target="https://github.com/ShaneHooper/WorkHorse3DPrinter/wiki/Workhorse-3D-Printer" TargetMode="External"/><Relationship Id="rId8" Type="http://schemas.openxmlformats.org/officeDocument/2006/relationships/hyperlink" Target="https://github.com/ShaneHooper/WorkHorse3DPrinter/wiki/Workhorse-3D-Printer" TargetMode="External"/><Relationship Id="rId11" Type="http://schemas.openxmlformats.org/officeDocument/2006/relationships/hyperlink" Target="https://camo.githubusercontent.com/5a8454e4967a04aa991616b918e560a8cee61f497d2fd0e4b2d1c9c4a1b13937/68747470733a2f2f336464697374726962757465642e636f6d2f77702d636f6e74656e742f75706c6f6164732f323032302f30372f5072696e74696e672d61742d7468652d636f6c6c6567652e30305f30305f30365f30302e5374696c6c3031352d31303234783537362e6a7067" TargetMode="External"/><Relationship Id="rId10" Type="http://schemas.openxmlformats.org/officeDocument/2006/relationships/hyperlink" Target="https://github.com/ShaneHooper/WorkHorse3DPrinter/wiki/Workhorse-3D-Printer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ackster.io/ShaneHooper/large-diy-3d-printer-with-all-lead-screw-0add9b" TargetMode="External"/><Relationship Id="rId2" Type="http://schemas.openxmlformats.org/officeDocument/2006/relationships/hyperlink" Target="https://www.hackster.io/ShaneHooper/large-diy-3d-printer-with-all-lead-screw-0add9b" TargetMode="External"/><Relationship Id="rId3" Type="http://schemas.openxmlformats.org/officeDocument/2006/relationships/hyperlink" Target="https://hackaday.io/project/177793-large-diy-3d-printer-with-all-lead-screw" TargetMode="External"/><Relationship Id="rId4" Type="http://schemas.openxmlformats.org/officeDocument/2006/relationships/hyperlink" Target="https://hackaday.io/project/177793-large-diy-3d-printer-with-all-lead-screw" TargetMode="External"/><Relationship Id="rId9" Type="http://schemas.openxmlformats.org/officeDocument/2006/relationships/hyperlink" Target="https://gallery.autodesk.com/projects/159034/workhorse-3d-printer---large-format-diy-3d-printer-with-all-lead-screw---fixed-bed---moving-gantry" TargetMode="External"/><Relationship Id="rId5" Type="http://schemas.openxmlformats.org/officeDocument/2006/relationships/hyperlink" Target="https://www.thingiverse.com/thing:2764064" TargetMode="External"/><Relationship Id="rId6" Type="http://schemas.openxmlformats.org/officeDocument/2006/relationships/hyperlink" Target="https://www.thingiverse.com/thing:2764064" TargetMode="External"/><Relationship Id="rId7" Type="http://schemas.openxmlformats.org/officeDocument/2006/relationships/hyperlink" Target="https://openbuilds.com/builds/workhorse-3d-printer.8576/" TargetMode="External"/><Relationship Id="rId8" Type="http://schemas.openxmlformats.org/officeDocument/2006/relationships/hyperlink" Target="https://openbuilds.com/builds/workhorse-3d-printer.8576/" TargetMode="External"/><Relationship Id="rId11" Type="http://schemas.openxmlformats.org/officeDocument/2006/relationships/hyperlink" Target="https://www.myminifactory.com/object/3d-print-workhorse-3d-printer-large-scale-xyz-lead-screw-moving-gantry-fixed-bed-160639" TargetMode="External"/><Relationship Id="rId10" Type="http://schemas.openxmlformats.org/officeDocument/2006/relationships/hyperlink" Target="https://gallery.autodesk.com/projects/159034/workhorse-3d-printer---large-format-diy-3d-printer-with-all-lead-screw---fixed-bed---moving-gantry" TargetMode="External"/><Relationship Id="rId13" Type="http://schemas.openxmlformats.org/officeDocument/2006/relationships/hyperlink" Target="https://grabcad.com/library/workhorse-3d-printer-large-diy-3d-printer-with-xyz-axis-lead-screw-fixed-bed-moving-gantry-1" TargetMode="External"/><Relationship Id="rId12" Type="http://schemas.openxmlformats.org/officeDocument/2006/relationships/hyperlink" Target="https://www.myminifactory.com/object/3d-print-workhorse-3d-printer-large-scale-xyz-lead-screw-moving-gantry-fixed-bed-160639" TargetMode="External"/><Relationship Id="rId15" Type="http://schemas.openxmlformats.org/officeDocument/2006/relationships/hyperlink" Target="https://wikifactory.com/@shanehooper/workhorse-3d-printer" TargetMode="External"/><Relationship Id="rId14" Type="http://schemas.openxmlformats.org/officeDocument/2006/relationships/hyperlink" Target="https://grabcad.com/library/workhorse-3d-printer-large-diy-3d-printer-with-xyz-axis-lead-screw-fixed-bed-moving-gantry-1" TargetMode="External"/><Relationship Id="rId17" Type="http://schemas.openxmlformats.org/officeDocument/2006/relationships/hyperlink" Target="https://thangs.com/3ddistributed/Workhorse-3D-Printer-12565" TargetMode="External"/><Relationship Id="rId16" Type="http://schemas.openxmlformats.org/officeDocument/2006/relationships/hyperlink" Target="https://wikifactory.com/@shanehooper/workhorse-3d-printer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thangs.com/3ddistributed/Workhorse-3D-Printer-12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19.13"/>
    <col customWidth="1" min="3" max="3" width="41.25"/>
    <col customWidth="1" min="4" max="4" width="22.63"/>
    <col customWidth="1" min="5" max="5" width="21.75"/>
  </cols>
  <sheetData>
    <row r="1" ht="36.0" customHeight="1">
      <c r="A1" s="1" t="s">
        <v>0</v>
      </c>
      <c r="B1" s="2"/>
      <c r="C1" s="2"/>
      <c r="D1" s="2"/>
      <c r="E1" s="2"/>
      <c r="F1" s="3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8</v>
      </c>
      <c r="B3" s="9">
        <v>1.0</v>
      </c>
      <c r="C3" s="8" t="s">
        <v>9</v>
      </c>
      <c r="D3" s="8" t="s">
        <v>10</v>
      </c>
      <c r="E3" s="8" t="s">
        <v>11</v>
      </c>
      <c r="F3" s="10">
        <v>9.95</v>
      </c>
      <c r="G3" s="10">
        <f t="shared" ref="G3:G4" si="1">F3*B3</f>
        <v>9.95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8" t="s">
        <v>12</v>
      </c>
      <c r="B4" s="9">
        <v>5.0</v>
      </c>
      <c r="C4" s="11" t="s">
        <v>13</v>
      </c>
      <c r="D4" s="8" t="s">
        <v>10</v>
      </c>
      <c r="E4" s="11" t="s">
        <v>14</v>
      </c>
      <c r="F4" s="10">
        <v>17.95</v>
      </c>
      <c r="G4" s="10">
        <f t="shared" si="1"/>
        <v>89.75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/>
      <c r="B5" s="12"/>
      <c r="C5" s="12"/>
      <c r="D5" s="12"/>
      <c r="E5" s="12"/>
      <c r="F5" s="13"/>
      <c r="G5" s="1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8" t="s">
        <v>15</v>
      </c>
      <c r="B6" s="8" t="s">
        <v>16</v>
      </c>
      <c r="C6" s="12">
        <v>1.0</v>
      </c>
      <c r="D6" s="12"/>
      <c r="E6" s="12"/>
      <c r="F6" s="10">
        <v>0.0</v>
      </c>
      <c r="G6" s="10">
        <v>0.0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4"/>
      <c r="B7" s="14"/>
      <c r="C7" s="14"/>
      <c r="D7" s="14"/>
      <c r="E7" s="14"/>
      <c r="F7" s="14"/>
      <c r="G7" s="15">
        <f>G3+G4+G5+G6</f>
        <v>99.7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6"/>
      <c r="B8" s="16"/>
      <c r="C8" s="16"/>
      <c r="D8" s="16"/>
      <c r="E8" s="16"/>
      <c r="F8" s="1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17</v>
      </c>
      <c r="B9" s="5" t="s">
        <v>2</v>
      </c>
      <c r="C9" s="5" t="s">
        <v>18</v>
      </c>
      <c r="D9" s="5" t="s">
        <v>19</v>
      </c>
      <c r="E9" s="17" t="s">
        <v>20</v>
      </c>
      <c r="F9" s="18" t="s">
        <v>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8" t="s">
        <v>21</v>
      </c>
      <c r="B10" s="19">
        <v>2.0</v>
      </c>
      <c r="C10" s="8" t="s">
        <v>22</v>
      </c>
      <c r="D10" s="8" t="s">
        <v>23</v>
      </c>
      <c r="E10" s="10">
        <v>82.98</v>
      </c>
      <c r="F10" s="13">
        <f>E10*B10</f>
        <v>165.96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8" t="s">
        <v>24</v>
      </c>
      <c r="B11" s="19">
        <v>1.0</v>
      </c>
      <c r="C11" s="8" t="s">
        <v>22</v>
      </c>
      <c r="D11" s="8" t="s">
        <v>23</v>
      </c>
      <c r="E11" s="13">
        <f>F11</f>
        <v>97.84</v>
      </c>
      <c r="F11" s="10">
        <v>97.84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8" t="s">
        <v>25</v>
      </c>
      <c r="B12" s="19">
        <v>3.0</v>
      </c>
      <c r="C12" s="8" t="s">
        <v>26</v>
      </c>
      <c r="D12" s="20" t="s">
        <v>27</v>
      </c>
      <c r="E12" s="10">
        <v>35.78</v>
      </c>
      <c r="F12" s="13">
        <f>E12*B12</f>
        <v>107.34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/>
      <c r="B13" s="19">
        <v>2.0</v>
      </c>
      <c r="C13" s="21"/>
      <c r="D13" s="22"/>
      <c r="E13" s="23"/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2"/>
      <c r="B14" s="19">
        <v>2.0</v>
      </c>
      <c r="C14" s="12"/>
      <c r="D14" s="24"/>
      <c r="E14" s="25"/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6" t="s">
        <v>28</v>
      </c>
      <c r="B15" s="27"/>
      <c r="C15" s="12"/>
      <c r="D15" s="12"/>
      <c r="E15" s="13"/>
      <c r="F15" s="28">
        <f>F10+F11+F12</f>
        <v>371.14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4"/>
      <c r="B16" s="14"/>
      <c r="C16" s="14"/>
      <c r="D16" s="14"/>
      <c r="E16" s="14"/>
      <c r="F16" s="1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6"/>
      <c r="B17" s="16"/>
      <c r="C17" s="16"/>
      <c r="D17" s="16"/>
      <c r="E17" s="14"/>
      <c r="F17" s="1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9" t="s">
        <v>29</v>
      </c>
      <c r="B18" s="5" t="s">
        <v>2</v>
      </c>
      <c r="C18" s="5" t="s">
        <v>19</v>
      </c>
      <c r="D18" s="5" t="s">
        <v>4</v>
      </c>
      <c r="E18" s="17" t="s">
        <v>5</v>
      </c>
      <c r="F18" s="17" t="s">
        <v>20</v>
      </c>
      <c r="G18" s="18" t="s">
        <v>7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8" t="s">
        <v>30</v>
      </c>
      <c r="B19" s="30" t="s">
        <v>31</v>
      </c>
      <c r="C19" s="8" t="s">
        <v>32</v>
      </c>
      <c r="D19" s="8" t="s">
        <v>10</v>
      </c>
      <c r="E19" s="8" t="s">
        <v>33</v>
      </c>
      <c r="F19" s="10">
        <v>61.95</v>
      </c>
      <c r="G19" s="31">
        <f>F19*3</f>
        <v>185.85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8" t="s">
        <v>34</v>
      </c>
      <c r="B20" s="27" t="s">
        <v>35</v>
      </c>
      <c r="C20" s="8" t="s">
        <v>36</v>
      </c>
      <c r="D20" s="8" t="s">
        <v>10</v>
      </c>
      <c r="E20" s="11" t="s">
        <v>37</v>
      </c>
      <c r="F20" s="10">
        <v>71.95</v>
      </c>
      <c r="G20" s="31">
        <f>F20*4</f>
        <v>287.8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32" t="s">
        <v>28</v>
      </c>
      <c r="B21" s="27"/>
      <c r="C21" s="12"/>
      <c r="D21" s="12"/>
      <c r="E21" s="12"/>
      <c r="F21" s="12"/>
      <c r="G21" s="15">
        <f>G19+G20</f>
        <v>473.65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4"/>
      <c r="B22" s="14"/>
      <c r="C22" s="14"/>
      <c r="D22" s="14"/>
      <c r="E22" s="14"/>
      <c r="F22" s="1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4"/>
      <c r="B23" s="14"/>
      <c r="C23" s="14"/>
      <c r="D23" s="14"/>
      <c r="E23" s="14"/>
      <c r="F23" s="1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4"/>
      <c r="B24" s="14"/>
      <c r="C24" s="14"/>
      <c r="D24" s="14"/>
      <c r="E24" s="14"/>
      <c r="F24" s="1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4"/>
      <c r="B25" s="33"/>
      <c r="C25" s="14"/>
      <c r="D25" s="14"/>
      <c r="E25" s="14"/>
      <c r="F25" s="1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4"/>
      <c r="B26" s="14"/>
      <c r="C26" s="14"/>
      <c r="D26" s="14"/>
      <c r="E26" s="14"/>
      <c r="F26" s="1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4"/>
      <c r="B27" s="14"/>
      <c r="C27" s="14"/>
      <c r="D27" s="14"/>
      <c r="E27" s="14"/>
      <c r="F27" s="1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34" t="s">
        <v>38</v>
      </c>
      <c r="B28" s="5" t="s">
        <v>39</v>
      </c>
      <c r="C28" s="5" t="s">
        <v>4</v>
      </c>
      <c r="D28" s="17" t="s">
        <v>40</v>
      </c>
      <c r="E28" s="17" t="s">
        <v>7</v>
      </c>
      <c r="F28" s="1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8" t="s">
        <v>41</v>
      </c>
      <c r="B29" s="27" t="s">
        <v>42</v>
      </c>
      <c r="C29" s="8" t="s">
        <v>43</v>
      </c>
      <c r="D29" s="10">
        <v>57.5</v>
      </c>
      <c r="E29" s="13">
        <f t="shared" ref="E29:E30" si="2">D29*2</f>
        <v>115</v>
      </c>
      <c r="F29" s="1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8" t="s">
        <v>44</v>
      </c>
      <c r="B30" s="27" t="s">
        <v>42</v>
      </c>
      <c r="C30" s="8" t="s">
        <v>43</v>
      </c>
      <c r="D30" s="10">
        <v>35.0</v>
      </c>
      <c r="E30" s="13">
        <f t="shared" si="2"/>
        <v>70</v>
      </c>
      <c r="F30" s="1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8" t="s">
        <v>45</v>
      </c>
      <c r="B31" s="27" t="s">
        <v>46</v>
      </c>
      <c r="C31" s="8" t="s">
        <v>43</v>
      </c>
      <c r="D31" s="10">
        <v>25.0</v>
      </c>
      <c r="E31" s="10">
        <v>25.0</v>
      </c>
      <c r="F31" s="1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8" t="s">
        <v>47</v>
      </c>
      <c r="B32" s="27" t="s">
        <v>46</v>
      </c>
      <c r="C32" s="8" t="s">
        <v>43</v>
      </c>
      <c r="D32" s="10">
        <v>20.0</v>
      </c>
      <c r="E32" s="13">
        <f>D32</f>
        <v>20</v>
      </c>
      <c r="F32" s="1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8" t="s">
        <v>48</v>
      </c>
      <c r="B33" s="27" t="s">
        <v>46</v>
      </c>
      <c r="C33" s="8" t="s">
        <v>43</v>
      </c>
      <c r="D33" s="10">
        <v>18.5</v>
      </c>
      <c r="E33" s="13">
        <v>17.5</v>
      </c>
      <c r="F33" s="1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8" t="s">
        <v>49</v>
      </c>
      <c r="B34" s="27" t="s">
        <v>50</v>
      </c>
      <c r="C34" s="8" t="s">
        <v>43</v>
      </c>
      <c r="D34" s="10">
        <v>20.0</v>
      </c>
      <c r="E34" s="13">
        <f>D34</f>
        <v>20</v>
      </c>
      <c r="F34" s="1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8" t="s">
        <v>51</v>
      </c>
      <c r="B35" s="27" t="s">
        <v>42</v>
      </c>
      <c r="C35" s="8" t="s">
        <v>43</v>
      </c>
      <c r="D35" s="10">
        <v>32.5</v>
      </c>
      <c r="E35" s="13">
        <f>D35*2</f>
        <v>65</v>
      </c>
      <c r="F35" s="1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9" t="s">
        <v>52</v>
      </c>
      <c r="B36" s="35" t="s">
        <v>46</v>
      </c>
      <c r="C36" s="9" t="s">
        <v>43</v>
      </c>
      <c r="D36" s="10">
        <v>230.0</v>
      </c>
      <c r="E36" s="10">
        <v>230.0</v>
      </c>
      <c r="F36" s="1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 t="s">
        <v>28</v>
      </c>
      <c r="B37" s="12"/>
      <c r="C37" s="12"/>
      <c r="D37" s="13">
        <f>D29+D30+D31+D32+D33+D34+D35</f>
        <v>208.5</v>
      </c>
      <c r="E37" s="28">
        <f>E29+E30+E31+E32+E33+E34+E35+E36</f>
        <v>562.5</v>
      </c>
      <c r="F37" s="1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4"/>
      <c r="B38" s="33"/>
      <c r="C38" s="14"/>
      <c r="D38" s="14"/>
      <c r="E38" s="14"/>
      <c r="F38" s="1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4"/>
      <c r="B39" s="14"/>
      <c r="C39" s="14"/>
      <c r="D39" s="14"/>
      <c r="E39" s="14"/>
      <c r="F39" s="1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4"/>
      <c r="B40" s="14"/>
      <c r="C40" s="14"/>
      <c r="D40" s="14"/>
      <c r="E40" s="14"/>
      <c r="F40" s="1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4"/>
      <c r="B41" s="14"/>
      <c r="C41" s="14"/>
      <c r="D41" s="14"/>
      <c r="E41" s="14"/>
      <c r="F41" s="1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9" t="s">
        <v>53</v>
      </c>
      <c r="B42" s="5" t="s">
        <v>2</v>
      </c>
      <c r="C42" s="5" t="s">
        <v>19</v>
      </c>
      <c r="D42" s="5" t="s">
        <v>54</v>
      </c>
      <c r="E42" s="5" t="s">
        <v>5</v>
      </c>
      <c r="F42" s="17" t="s">
        <v>55</v>
      </c>
      <c r="G42" s="36" t="s">
        <v>56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" t="s">
        <v>57</v>
      </c>
      <c r="B43" s="12" t="s">
        <v>58</v>
      </c>
      <c r="C43" s="12" t="s">
        <v>59</v>
      </c>
      <c r="D43" s="12" t="s">
        <v>60</v>
      </c>
      <c r="E43" s="37" t="s">
        <v>61</v>
      </c>
      <c r="F43" s="37"/>
      <c r="G43" s="38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" t="s">
        <v>57</v>
      </c>
      <c r="B44" s="12" t="s">
        <v>62</v>
      </c>
      <c r="C44" s="12" t="s">
        <v>63</v>
      </c>
      <c r="D44" s="12" t="s">
        <v>64</v>
      </c>
      <c r="E44" s="12" t="s">
        <v>65</v>
      </c>
      <c r="F44" s="12"/>
      <c r="G44" s="38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"/>
      <c r="B45" s="12"/>
      <c r="C45" s="12"/>
      <c r="D45" s="12"/>
      <c r="E45" s="12"/>
      <c r="F45" s="12"/>
      <c r="G45" s="38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"/>
      <c r="B46" s="12"/>
      <c r="C46" s="12"/>
      <c r="D46" s="12"/>
      <c r="E46" s="12"/>
      <c r="F46" s="12"/>
      <c r="G46" s="38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9" t="s">
        <v>66</v>
      </c>
      <c r="B47" s="5" t="s">
        <v>2</v>
      </c>
      <c r="C47" s="5" t="s">
        <v>19</v>
      </c>
      <c r="D47" s="5" t="s">
        <v>54</v>
      </c>
      <c r="E47" s="5" t="s">
        <v>67</v>
      </c>
      <c r="F47" s="17" t="s">
        <v>55</v>
      </c>
      <c r="G47" s="36" t="s">
        <v>56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" t="s">
        <v>57</v>
      </c>
      <c r="B48" s="12" t="s">
        <v>31</v>
      </c>
      <c r="C48" s="9" t="s">
        <v>68</v>
      </c>
      <c r="D48" s="12" t="s">
        <v>69</v>
      </c>
      <c r="E48" s="12" t="s">
        <v>70</v>
      </c>
      <c r="F48" s="12"/>
      <c r="G48" s="38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"/>
      <c r="B49" s="12"/>
      <c r="C49" s="12"/>
      <c r="D49" s="12"/>
      <c r="E49" s="12"/>
      <c r="F49" s="12"/>
      <c r="G49" s="38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9" t="s">
        <v>71</v>
      </c>
      <c r="B50" s="5" t="s">
        <v>2</v>
      </c>
      <c r="C50" s="5" t="s">
        <v>19</v>
      </c>
      <c r="D50" s="5" t="s">
        <v>72</v>
      </c>
      <c r="E50" s="5" t="s">
        <v>67</v>
      </c>
      <c r="F50" s="17" t="s">
        <v>55</v>
      </c>
      <c r="G50" s="36" t="s">
        <v>56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" t="s">
        <v>73</v>
      </c>
      <c r="B51" s="12" t="s">
        <v>74</v>
      </c>
      <c r="C51" s="9" t="s">
        <v>75</v>
      </c>
      <c r="D51" s="12"/>
      <c r="E51" s="12" t="s">
        <v>76</v>
      </c>
      <c r="F51" s="12"/>
      <c r="G51" s="38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1.0" customHeight="1">
      <c r="A52" s="39" t="s">
        <v>73</v>
      </c>
      <c r="B52" s="12" t="s">
        <v>77</v>
      </c>
      <c r="C52" s="9" t="s">
        <v>78</v>
      </c>
      <c r="D52" s="12"/>
      <c r="E52" s="12" t="s">
        <v>79</v>
      </c>
      <c r="F52" s="12"/>
      <c r="G52" s="38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" t="s">
        <v>80</v>
      </c>
      <c r="B53" s="12"/>
      <c r="C53" s="12" t="s">
        <v>81</v>
      </c>
      <c r="D53" s="12"/>
      <c r="E53" s="12" t="s">
        <v>82</v>
      </c>
      <c r="F53" s="12"/>
      <c r="G53" s="38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" t="s">
        <v>80</v>
      </c>
      <c r="B54" s="12" t="s">
        <v>83</v>
      </c>
      <c r="C54" s="12" t="s">
        <v>84</v>
      </c>
      <c r="D54" s="12"/>
      <c r="E54" s="12" t="s">
        <v>85</v>
      </c>
      <c r="F54" s="12"/>
      <c r="G54" s="38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" t="s">
        <v>80</v>
      </c>
      <c r="B55" s="12" t="s">
        <v>83</v>
      </c>
      <c r="C55" s="12" t="s">
        <v>86</v>
      </c>
      <c r="D55" s="12"/>
      <c r="E55" s="12" t="s">
        <v>87</v>
      </c>
      <c r="F55" s="12"/>
      <c r="G55" s="3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" t="s">
        <v>88</v>
      </c>
      <c r="B56" s="12" t="s">
        <v>83</v>
      </c>
      <c r="C56" s="12" t="s">
        <v>89</v>
      </c>
      <c r="D56" s="12"/>
      <c r="E56" s="12"/>
      <c r="F56" s="12"/>
      <c r="G56" s="38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" t="s">
        <v>90</v>
      </c>
      <c r="B57" s="12" t="s">
        <v>62</v>
      </c>
      <c r="C57" s="12" t="s">
        <v>91</v>
      </c>
      <c r="D57" s="12"/>
      <c r="E57" s="12"/>
      <c r="F57" s="12"/>
      <c r="G57" s="38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" t="s">
        <v>92</v>
      </c>
      <c r="B58" s="12" t="s">
        <v>62</v>
      </c>
      <c r="C58" s="12" t="s">
        <v>93</v>
      </c>
      <c r="D58" s="12"/>
      <c r="E58" s="12"/>
      <c r="F58" s="12"/>
      <c r="G58" s="38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" t="s">
        <v>94</v>
      </c>
      <c r="B59" s="12" t="s">
        <v>62</v>
      </c>
      <c r="C59" s="12" t="s">
        <v>95</v>
      </c>
      <c r="D59" s="12"/>
      <c r="E59" s="12"/>
      <c r="F59" s="12"/>
      <c r="G59" s="38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" t="s">
        <v>96</v>
      </c>
      <c r="B60" s="12" t="s">
        <v>83</v>
      </c>
      <c r="C60" s="12" t="s">
        <v>97</v>
      </c>
      <c r="D60" s="12"/>
      <c r="E60" s="12"/>
      <c r="F60" s="12"/>
      <c r="G60" s="38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" t="s">
        <v>98</v>
      </c>
      <c r="B61" s="12" t="s">
        <v>62</v>
      </c>
      <c r="C61" s="12" t="s">
        <v>99</v>
      </c>
      <c r="D61" s="12"/>
      <c r="E61" s="12"/>
      <c r="F61" s="12"/>
      <c r="G61" s="38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4"/>
      <c r="B62" s="14"/>
      <c r="C62" s="14"/>
      <c r="D62" s="14"/>
      <c r="E62" s="14"/>
      <c r="F62" s="1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4"/>
      <c r="B63" s="14"/>
      <c r="C63" s="14"/>
      <c r="D63" s="14"/>
      <c r="E63" s="14"/>
      <c r="F63" s="1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 t="s">
        <v>100</v>
      </c>
      <c r="B64" s="5" t="s">
        <v>2</v>
      </c>
      <c r="C64" s="5" t="s">
        <v>101</v>
      </c>
      <c r="D64" s="14"/>
      <c r="E64" s="14"/>
      <c r="F64" s="1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8" t="s">
        <v>102</v>
      </c>
      <c r="B65" s="27"/>
      <c r="C65" s="27"/>
      <c r="D65" s="14"/>
      <c r="E65" s="14"/>
      <c r="F65" s="1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" t="s">
        <v>103</v>
      </c>
      <c r="B66" s="27" t="s">
        <v>83</v>
      </c>
      <c r="C66" s="27"/>
      <c r="D66" s="14"/>
      <c r="E66" s="14"/>
      <c r="F66" s="1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" t="s">
        <v>104</v>
      </c>
      <c r="B67" s="27"/>
      <c r="C67" s="27"/>
      <c r="D67" s="14"/>
      <c r="E67" s="14"/>
      <c r="F67" s="1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" t="s">
        <v>105</v>
      </c>
      <c r="B68" s="27"/>
      <c r="C68" s="27"/>
      <c r="D68" s="14"/>
      <c r="E68" s="14"/>
      <c r="F68" s="1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"/>
      <c r="B69" s="27"/>
      <c r="C69" s="27"/>
      <c r="D69" s="14"/>
      <c r="E69" s="14"/>
      <c r="F69" s="1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"/>
      <c r="B70" s="27"/>
      <c r="C70" s="27"/>
      <c r="D70" s="14"/>
      <c r="E70" s="14"/>
      <c r="F70" s="1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" t="s">
        <v>28</v>
      </c>
      <c r="B71" s="27"/>
      <c r="C71" s="27"/>
      <c r="D71" s="14"/>
      <c r="E71" s="14"/>
      <c r="F71" s="1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0" t="s">
        <v>106</v>
      </c>
      <c r="C77" s="36" t="s">
        <v>28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31">
        <f>G7+F15+G21+E37</f>
        <v>1506.99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hyperlinks>
    <hyperlink r:id="rId1" ref="A3"/>
    <hyperlink r:id="rId2" ref="C3"/>
    <hyperlink r:id="rId3" ref="D3"/>
    <hyperlink r:id="rId4" ref="E3"/>
    <hyperlink r:id="rId5" ref="A4"/>
    <hyperlink r:id="rId6" ref="C4"/>
    <hyperlink r:id="rId7" ref="D4"/>
    <hyperlink r:id="rId8" ref="E4"/>
    <hyperlink r:id="rId9" ref="A6"/>
    <hyperlink r:id="rId10" ref="B6"/>
    <hyperlink r:id="rId11" ref="A10"/>
    <hyperlink r:id="rId12" ref="C10"/>
    <hyperlink r:id="rId13" ref="D10"/>
    <hyperlink r:id="rId14" ref="A11"/>
    <hyperlink r:id="rId15" ref="C11"/>
    <hyperlink r:id="rId16" ref="D11"/>
    <hyperlink r:id="rId17" ref="A12"/>
    <hyperlink r:id="rId18" ref="C12"/>
    <hyperlink r:id="rId19" ref="D12"/>
    <hyperlink r:id="rId20" ref="A18"/>
    <hyperlink r:id="rId21" ref="A19"/>
    <hyperlink r:id="rId22" ref="C19"/>
    <hyperlink r:id="rId23" ref="D19"/>
    <hyperlink r:id="rId24" ref="E19"/>
    <hyperlink r:id="rId25" ref="A20"/>
    <hyperlink r:id="rId26" ref="C20"/>
    <hyperlink r:id="rId27" ref="D20"/>
    <hyperlink r:id="rId28" ref="E20"/>
    <hyperlink r:id="rId29" ref="A28"/>
    <hyperlink r:id="rId30" ref="A29"/>
    <hyperlink r:id="rId31" ref="C29"/>
    <hyperlink r:id="rId32" ref="A30"/>
    <hyperlink r:id="rId33" ref="C30"/>
    <hyperlink r:id="rId34" ref="A31"/>
    <hyperlink r:id="rId35" ref="C31"/>
    <hyperlink r:id="rId36" ref="A32"/>
    <hyperlink r:id="rId37" ref="C32"/>
    <hyperlink r:id="rId38" ref="A33"/>
    <hyperlink r:id="rId39" ref="C33"/>
    <hyperlink r:id="rId40" ref="A34"/>
    <hyperlink r:id="rId41" ref="C34"/>
    <hyperlink r:id="rId42" ref="A35"/>
    <hyperlink r:id="rId43" ref="C35"/>
    <hyperlink r:id="rId44" ref="A42"/>
    <hyperlink r:id="rId45" ref="A47"/>
    <hyperlink r:id="rId46" ref="A50"/>
    <hyperlink r:id="rId47" ref="A65"/>
  </hyperlinks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75"/>
  </cols>
  <sheetData>
    <row r="1">
      <c r="A1" s="41" t="s">
        <v>43</v>
      </c>
      <c r="B1" s="42"/>
    </row>
    <row r="2">
      <c r="A2" s="42"/>
      <c r="B2" s="42"/>
    </row>
    <row r="3">
      <c r="A3" s="43" t="s">
        <v>43</v>
      </c>
      <c r="B3" s="43" t="s">
        <v>43</v>
      </c>
    </row>
    <row r="4">
      <c r="A4" s="44" t="s">
        <v>107</v>
      </c>
      <c r="B4" s="44" t="s">
        <v>108</v>
      </c>
    </row>
    <row r="5">
      <c r="A5" s="44" t="s">
        <v>109</v>
      </c>
      <c r="B5" s="44" t="s">
        <v>110</v>
      </c>
    </row>
    <row r="6">
      <c r="A6" s="44" t="s">
        <v>111</v>
      </c>
      <c r="B6" s="44" t="s">
        <v>112</v>
      </c>
    </row>
    <row r="7">
      <c r="A7" s="44" t="s">
        <v>113</v>
      </c>
      <c r="B7" s="44" t="s">
        <v>114</v>
      </c>
    </row>
    <row r="8">
      <c r="A8" s="44" t="s">
        <v>115</v>
      </c>
      <c r="B8" s="44" t="s">
        <v>116</v>
      </c>
    </row>
    <row r="9">
      <c r="A9" s="44" t="s">
        <v>117</v>
      </c>
      <c r="B9" s="44"/>
    </row>
    <row r="10">
      <c r="A10" s="45"/>
      <c r="B10" s="44" t="s">
        <v>118</v>
      </c>
    </row>
    <row r="11">
      <c r="A11" s="44" t="s">
        <v>119</v>
      </c>
      <c r="B11" s="44" t="s">
        <v>120</v>
      </c>
    </row>
    <row r="12">
      <c r="A12" s="45"/>
      <c r="B12" s="44" t="s">
        <v>115</v>
      </c>
    </row>
    <row r="13">
      <c r="A13" s="45"/>
      <c r="B13" s="46"/>
    </row>
    <row r="14">
      <c r="A14" s="47" t="s">
        <v>43</v>
      </c>
      <c r="B14" s="46"/>
    </row>
    <row r="15">
      <c r="A15" s="44" t="s">
        <v>107</v>
      </c>
      <c r="B15" s="46"/>
    </row>
    <row r="16">
      <c r="A16" s="44" t="s">
        <v>109</v>
      </c>
      <c r="B16" s="46"/>
    </row>
    <row r="17">
      <c r="A17" s="44" t="s">
        <v>111</v>
      </c>
      <c r="B17" s="46"/>
    </row>
    <row r="18">
      <c r="A18" s="44" t="s">
        <v>113</v>
      </c>
      <c r="B18" s="46"/>
    </row>
    <row r="19">
      <c r="A19" s="44" t="s">
        <v>115</v>
      </c>
      <c r="B19" s="46"/>
    </row>
    <row r="20">
      <c r="A20" s="44" t="s">
        <v>117</v>
      </c>
      <c r="B20" s="46"/>
    </row>
    <row r="21">
      <c r="A21" s="44" t="s">
        <v>121</v>
      </c>
      <c r="B21" s="46"/>
    </row>
    <row r="22">
      <c r="A22" s="44" t="s">
        <v>119</v>
      </c>
      <c r="B22" s="46"/>
    </row>
    <row r="23">
      <c r="A23" s="45"/>
      <c r="B23" s="46"/>
    </row>
    <row r="24">
      <c r="A24" s="44" t="s">
        <v>122</v>
      </c>
      <c r="B24" s="46"/>
    </row>
    <row r="25">
      <c r="A25" s="46"/>
      <c r="B25" s="46"/>
    </row>
    <row r="26">
      <c r="A26" s="48" t="s">
        <v>43</v>
      </c>
      <c r="B26" s="46"/>
    </row>
    <row r="27">
      <c r="A27" s="49" t="s">
        <v>107</v>
      </c>
      <c r="B27" s="46"/>
    </row>
    <row r="28">
      <c r="A28" s="49" t="s">
        <v>109</v>
      </c>
      <c r="B28" s="46"/>
    </row>
    <row r="29">
      <c r="A29" s="49" t="s">
        <v>111</v>
      </c>
      <c r="B29" s="46"/>
    </row>
    <row r="30">
      <c r="A30" s="49" t="s">
        <v>113</v>
      </c>
      <c r="B30" s="46"/>
    </row>
    <row r="31">
      <c r="A31" s="49" t="s">
        <v>115</v>
      </c>
      <c r="B31" s="46"/>
    </row>
    <row r="32">
      <c r="A32" s="49" t="s">
        <v>117</v>
      </c>
      <c r="B32" s="46"/>
    </row>
    <row r="33">
      <c r="A33" s="49" t="s">
        <v>121</v>
      </c>
      <c r="B33" s="46"/>
    </row>
    <row r="34">
      <c r="A34" s="44" t="s">
        <v>119</v>
      </c>
      <c r="B34" s="46"/>
    </row>
    <row r="35">
      <c r="A35" s="46"/>
      <c r="B35" s="46"/>
    </row>
    <row r="36">
      <c r="A36" s="49" t="s">
        <v>122</v>
      </c>
      <c r="B36" s="46"/>
    </row>
  </sheetData>
  <hyperlinks>
    <hyperlink r:id="rId1" ref="A1"/>
    <hyperlink r:id="rId2" ref="A3"/>
    <hyperlink r:id="rId3" ref="B3"/>
    <hyperlink r:id="rId4" ref="A4"/>
    <hyperlink r:id="rId5" ref="B4"/>
    <hyperlink r:id="rId6" ref="A5"/>
    <hyperlink r:id="rId7" ref="B5"/>
    <hyperlink r:id="rId8" ref="A6"/>
    <hyperlink r:id="rId9" ref="B6"/>
    <hyperlink r:id="rId10" ref="A7"/>
    <hyperlink r:id="rId11" ref="B7"/>
    <hyperlink r:id="rId12" ref="A8"/>
    <hyperlink r:id="rId13" ref="B8"/>
    <hyperlink r:id="rId14" ref="A9"/>
    <hyperlink r:id="rId15" ref="B10"/>
    <hyperlink r:id="rId16" ref="A11"/>
    <hyperlink r:id="rId17" ref="B11"/>
    <hyperlink r:id="rId18" ref="B12"/>
    <hyperlink r:id="rId19" ref="A14"/>
    <hyperlink r:id="rId20" ref="A15"/>
    <hyperlink r:id="rId21" ref="A16"/>
    <hyperlink r:id="rId22" ref="A17"/>
    <hyperlink r:id="rId23" ref="A18"/>
    <hyperlink r:id="rId24" ref="A19"/>
    <hyperlink r:id="rId25" ref="A20"/>
    <hyperlink r:id="rId26" ref="A21"/>
    <hyperlink r:id="rId27" ref="A22"/>
    <hyperlink r:id="rId28" ref="A24"/>
    <hyperlink r:id="rId29" ref="A26"/>
    <hyperlink r:id="rId30" ref="A27"/>
    <hyperlink r:id="rId31" ref="A28"/>
    <hyperlink r:id="rId32" ref="A29"/>
    <hyperlink r:id="rId33" ref="A30"/>
    <hyperlink r:id="rId34" ref="A31"/>
    <hyperlink r:id="rId35" ref="A32"/>
    <hyperlink r:id="rId36" ref="A33"/>
    <hyperlink r:id="rId37" ref="A34"/>
    <hyperlink r:id="rId38" ref="A36"/>
  </hyperlinks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1">
      <c r="A1" s="50" t="s">
        <v>123</v>
      </c>
      <c r="B1" s="46"/>
    </row>
    <row r="2">
      <c r="A2" s="51" t="s">
        <v>124</v>
      </c>
      <c r="B2" s="52" t="s">
        <v>125</v>
      </c>
    </row>
    <row r="3">
      <c r="A3" s="51" t="s">
        <v>126</v>
      </c>
      <c r="B3" s="52" t="s">
        <v>127</v>
      </c>
    </row>
    <row r="4">
      <c r="A4" s="51" t="s">
        <v>128</v>
      </c>
      <c r="B4" s="52" t="s">
        <v>129</v>
      </c>
    </row>
    <row r="5">
      <c r="A5" s="51" t="s">
        <v>130</v>
      </c>
      <c r="B5" s="52" t="s">
        <v>131</v>
      </c>
    </row>
    <row r="6">
      <c r="A6" s="51" t="s">
        <v>132</v>
      </c>
      <c r="B6" s="52" t="s">
        <v>133</v>
      </c>
    </row>
    <row r="7">
      <c r="A7" s="51" t="s">
        <v>124</v>
      </c>
      <c r="B7" s="46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location="lead-screw-motion-system" ref="A6"/>
    <hyperlink r:id="rId10" location="lead-screw-motion-system" ref="B6"/>
    <hyperlink r:id="rId11" ref="A7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110.38"/>
  </cols>
  <sheetData>
    <row r="1">
      <c r="A1" s="53" t="s">
        <v>134</v>
      </c>
      <c r="B1" s="54"/>
    </row>
    <row r="2">
      <c r="A2" s="55" t="s">
        <v>135</v>
      </c>
      <c r="B2" s="56" t="s">
        <v>136</v>
      </c>
    </row>
    <row r="3">
      <c r="A3" s="57" t="s">
        <v>137</v>
      </c>
      <c r="B3" s="58" t="s">
        <v>138</v>
      </c>
    </row>
    <row r="4">
      <c r="A4" s="57" t="s">
        <v>139</v>
      </c>
      <c r="B4" s="59" t="s">
        <v>140</v>
      </c>
    </row>
    <row r="5">
      <c r="A5" s="57" t="s">
        <v>141</v>
      </c>
      <c r="B5" s="59" t="s">
        <v>142</v>
      </c>
    </row>
    <row r="6">
      <c r="A6" s="57" t="s">
        <v>143</v>
      </c>
      <c r="B6" s="59" t="s">
        <v>144</v>
      </c>
    </row>
    <row r="7">
      <c r="A7" s="57" t="s">
        <v>145</v>
      </c>
      <c r="B7" s="59" t="s">
        <v>146</v>
      </c>
    </row>
    <row r="8">
      <c r="A8" s="57" t="s">
        <v>147</v>
      </c>
      <c r="B8" s="59" t="s">
        <v>148</v>
      </c>
    </row>
    <row r="9">
      <c r="A9" s="57" t="s">
        <v>149</v>
      </c>
      <c r="B9" s="59" t="s">
        <v>150</v>
      </c>
    </row>
    <row r="10">
      <c r="A10" s="57" t="s">
        <v>151</v>
      </c>
      <c r="B10" s="59" t="s">
        <v>152</v>
      </c>
    </row>
    <row r="11">
      <c r="A11" s="60"/>
      <c r="B11" s="61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